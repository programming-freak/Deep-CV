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itya Singh\Downloads\"/>
    </mc:Choice>
  </mc:AlternateContent>
  <xr:revisionPtr revIDLastSave="0" documentId="13_ncr:1_{01085926-15B8-4C1B-8701-0469498162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TRNR_a83bc7644dab426ab7c158f302601cad_378_1">Sheet1!$C$1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4" i="1"/>
  <c r="H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4" i="1"/>
  <c r="F3" i="1"/>
  <c r="N10" i="1" l="1"/>
</calcChain>
</file>

<file path=xl/sharedStrings.xml><?xml version="1.0" encoding="utf-8"?>
<sst xmlns="http://schemas.openxmlformats.org/spreadsheetml/2006/main" count="11" uniqueCount="10">
  <si>
    <t>Year</t>
  </si>
  <si>
    <t>Jet Kerosene-FOB Cargoes Med.$/MT</t>
  </si>
  <si>
    <t>USD/AUD</t>
  </si>
  <si>
    <t>AUD/USD</t>
  </si>
  <si>
    <t>CORRELATION</t>
  </si>
  <si>
    <t>STD 1</t>
  </si>
  <si>
    <t>STD 2</t>
  </si>
  <si>
    <t>Jet kersoene Returns calculated using logarithm</t>
  </si>
  <si>
    <t>AUD/USD returns calculated using Logarithm</t>
  </si>
  <si>
    <t>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</si>
</sst>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G337" sqref="G337"/>
    </sheetView>
  </sheetViews>
  <sheetFormatPr defaultColWidth="14.44140625" defaultRowHeight="15" customHeight="1" x14ac:dyDescent="0.3"/>
  <cols>
    <col min="1" max="1" width="10.44140625" customWidth="1"/>
    <col min="2" max="3" width="8.6640625" customWidth="1"/>
    <col min="4" max="4" width="10.44140625" customWidth="1"/>
    <col min="5" max="26" width="8.6640625" customWidth="1"/>
  </cols>
  <sheetData>
    <row r="1" spans="1:14" ht="14.4" x14ac:dyDescent="0.3">
      <c r="A1" s="1" t="s">
        <v>0</v>
      </c>
      <c r="B1" s="2" t="s">
        <v>1</v>
      </c>
      <c r="C1" s="3" t="s">
        <v>2</v>
      </c>
      <c r="D1" s="2" t="s">
        <v>3</v>
      </c>
      <c r="F1" s="6" t="s">
        <v>7</v>
      </c>
      <c r="G1" s="6"/>
      <c r="H1" s="6" t="s">
        <v>8</v>
      </c>
      <c r="I1" s="6"/>
    </row>
    <row r="2" spans="1:14" ht="14.4" x14ac:dyDescent="0.3">
      <c r="A2" s="1">
        <v>34346</v>
      </c>
      <c r="B2" s="4">
        <v>151.5</v>
      </c>
      <c r="C2" s="2">
        <v>0.69</v>
      </c>
      <c r="D2" s="2">
        <v>1.4492799999999999</v>
      </c>
      <c r="F2" s="6"/>
      <c r="G2" s="6"/>
      <c r="H2" s="6"/>
      <c r="I2" s="6"/>
    </row>
    <row r="3" spans="1:14" ht="14.4" x14ac:dyDescent="0.3">
      <c r="A3" s="1">
        <v>34377</v>
      </c>
      <c r="B3" s="4">
        <v>148</v>
      </c>
      <c r="C3" s="2">
        <v>0.71650000000000003</v>
      </c>
      <c r="D3" s="2">
        <v>1.39567</v>
      </c>
      <c r="F3" s="5">
        <f>LN(B3/B2)</f>
        <v>-2.3373351185308713E-2</v>
      </c>
      <c r="G3" s="5"/>
      <c r="H3" s="5">
        <f>LN(D3/D2)</f>
        <v>-3.7692294674790475E-2</v>
      </c>
      <c r="I3" s="5"/>
    </row>
    <row r="4" spans="1:14" ht="14.4" x14ac:dyDescent="0.3">
      <c r="A4" s="1">
        <v>34405</v>
      </c>
      <c r="B4" s="4">
        <v>146.5</v>
      </c>
      <c r="C4" s="2">
        <v>0.7107</v>
      </c>
      <c r="D4" s="2">
        <v>1.40706</v>
      </c>
      <c r="F4" s="5">
        <f>LN(B4/B3)</f>
        <v>-1.0186845306993018E-2</v>
      </c>
      <c r="G4" s="5"/>
      <c r="H4" s="5">
        <f>LN(D4/D3)</f>
        <v>8.1278344353452013E-3</v>
      </c>
      <c r="I4" s="5"/>
    </row>
    <row r="5" spans="1:14" ht="14.4" x14ac:dyDescent="0.3">
      <c r="A5" s="1">
        <v>34436</v>
      </c>
      <c r="B5" s="4">
        <v>150</v>
      </c>
      <c r="C5" s="2">
        <v>0.72419999999999995</v>
      </c>
      <c r="D5" s="2">
        <v>1.38083</v>
      </c>
      <c r="F5" s="5">
        <f t="shared" ref="F5:F68" si="0">LN(B5/B4)</f>
        <v>2.3609865639133667E-2</v>
      </c>
      <c r="G5" s="5"/>
      <c r="H5" s="5">
        <f t="shared" ref="H5:H68" si="1">LN(D5/D4)</f>
        <v>-1.8817653499916188E-2</v>
      </c>
      <c r="I5" s="5"/>
    </row>
    <row r="6" spans="1:14" ht="14.4" x14ac:dyDescent="0.3">
      <c r="A6" s="1">
        <v>34466</v>
      </c>
      <c r="B6" s="4">
        <v>153</v>
      </c>
      <c r="C6" s="2">
        <v>0.72</v>
      </c>
      <c r="D6" s="2">
        <v>1.38889</v>
      </c>
      <c r="F6" s="5">
        <f t="shared" si="0"/>
        <v>1.980262729617973E-2</v>
      </c>
      <c r="G6" s="5"/>
      <c r="H6" s="5">
        <f t="shared" si="1"/>
        <v>5.8200993253655344E-3</v>
      </c>
      <c r="I6" s="5"/>
      <c r="L6" s="7" t="s">
        <v>4</v>
      </c>
      <c r="M6" s="7"/>
      <c r="N6" s="10">
        <f xml:space="preserve"> CORREL(F3:F329, H3:H329)</f>
        <v>-0.30768560985068888</v>
      </c>
    </row>
    <row r="7" spans="1:14" ht="14.4" x14ac:dyDescent="0.3">
      <c r="A7" s="1">
        <v>34497</v>
      </c>
      <c r="B7" s="4">
        <v>148</v>
      </c>
      <c r="C7" s="2">
        <v>0.73470000000000002</v>
      </c>
      <c r="D7" s="2">
        <v>1.3611</v>
      </c>
      <c r="F7" s="5">
        <f t="shared" si="0"/>
        <v>-3.3225647628320393E-2</v>
      </c>
      <c r="G7" s="5"/>
      <c r="H7" s="5">
        <f t="shared" si="1"/>
        <v>-2.0211670615825187E-2</v>
      </c>
      <c r="I7" s="5"/>
      <c r="L7" s="8" t="s">
        <v>5</v>
      </c>
      <c r="M7" s="8"/>
      <c r="N7" s="10">
        <f>_xlfn.STDEV.S(F3:F329)</f>
        <v>0.11521818724914128</v>
      </c>
    </row>
    <row r="8" spans="1:14" ht="14.4" x14ac:dyDescent="0.3">
      <c r="A8" s="1">
        <v>34527</v>
      </c>
      <c r="B8" s="4">
        <v>158</v>
      </c>
      <c r="C8" s="2">
        <v>0.73460000000000003</v>
      </c>
      <c r="D8" s="2">
        <v>1.3612899999999999</v>
      </c>
      <c r="F8" s="5">
        <f t="shared" si="0"/>
        <v>6.5382759262851711E-2</v>
      </c>
      <c r="G8" s="5"/>
      <c r="H8" s="5">
        <f t="shared" si="1"/>
        <v>1.3958323407619271E-4</v>
      </c>
      <c r="I8" s="5"/>
      <c r="L8" s="8" t="s">
        <v>6</v>
      </c>
      <c r="M8" s="8"/>
      <c r="N8" s="10">
        <f>_xlfn.STDEV.S(H3:H329)</f>
        <v>3.1554471632896951E-2</v>
      </c>
    </row>
    <row r="9" spans="1:14" ht="14.4" x14ac:dyDescent="0.3">
      <c r="A9" s="1">
        <v>34558</v>
      </c>
      <c r="B9" s="4">
        <v>161</v>
      </c>
      <c r="C9" s="2">
        <v>0.74209999999999998</v>
      </c>
      <c r="D9" s="2">
        <v>1.3475299999999999</v>
      </c>
      <c r="F9" s="5">
        <f t="shared" si="0"/>
        <v>1.8809331957496293E-2</v>
      </c>
      <c r="G9" s="5"/>
      <c r="H9" s="5">
        <f t="shared" si="1"/>
        <v>-1.0159492585944048E-2</v>
      </c>
      <c r="I9" s="5"/>
      <c r="L9" s="8" t="s">
        <v>9</v>
      </c>
      <c r="M9" s="8"/>
      <c r="N9" s="10">
        <f>_xlfn.COVARIANCE.S(F3:F329,H3:H329)</f>
        <v>-1.1186368862746258E-3</v>
      </c>
    </row>
    <row r="10" spans="1:14" ht="14.4" x14ac:dyDescent="0.3">
      <c r="A10" s="1">
        <v>34589</v>
      </c>
      <c r="B10" s="4">
        <v>164</v>
      </c>
      <c r="C10" s="2">
        <v>0.74429999999999996</v>
      </c>
      <c r="D10" s="2">
        <v>1.34354</v>
      </c>
      <c r="F10" s="5">
        <f t="shared" si="0"/>
        <v>1.8462062839735352E-2</v>
      </c>
      <c r="G10" s="5"/>
      <c r="H10" s="5">
        <f t="shared" si="1"/>
        <v>-2.9653653928008671E-3</v>
      </c>
      <c r="I10" s="5"/>
      <c r="L10" s="9" t="s">
        <v>4</v>
      </c>
      <c r="M10" s="9"/>
      <c r="N10" s="10">
        <f>N9/(N7*N8)</f>
        <v>-0.30768560985068916</v>
      </c>
    </row>
    <row r="11" spans="1:14" ht="14.4" x14ac:dyDescent="0.3">
      <c r="A11" s="1">
        <v>34619</v>
      </c>
      <c r="B11" s="4">
        <v>171</v>
      </c>
      <c r="C11" s="2">
        <v>0.73670000000000002</v>
      </c>
      <c r="D11" s="2">
        <v>1.3573999999999999</v>
      </c>
      <c r="F11" s="5">
        <f t="shared" si="0"/>
        <v>4.1797128678461457E-2</v>
      </c>
      <c r="G11" s="5"/>
      <c r="H11" s="5">
        <f t="shared" si="1"/>
        <v>1.0263183676298644E-2</v>
      </c>
      <c r="I11" s="5"/>
    </row>
    <row r="12" spans="1:14" ht="14.4" x14ac:dyDescent="0.3">
      <c r="A12" s="1">
        <v>34650</v>
      </c>
      <c r="B12" s="4">
        <v>175</v>
      </c>
      <c r="C12" s="2">
        <v>0.75249999999999995</v>
      </c>
      <c r="D12" s="2">
        <v>1.3289</v>
      </c>
      <c r="F12" s="5">
        <f t="shared" si="0"/>
        <v>2.3122417420854212E-2</v>
      </c>
      <c r="G12" s="5"/>
      <c r="H12" s="5">
        <f t="shared" si="1"/>
        <v>-2.1219572932195944E-2</v>
      </c>
      <c r="I12" s="5"/>
    </row>
    <row r="13" spans="1:14" ht="14.4" x14ac:dyDescent="0.3">
      <c r="A13" s="1">
        <v>34680</v>
      </c>
      <c r="B13" s="4">
        <v>151.5</v>
      </c>
      <c r="C13" s="2">
        <v>0.77380000000000004</v>
      </c>
      <c r="D13" s="2">
        <v>1.2923199999999999</v>
      </c>
      <c r="F13" s="5">
        <f t="shared" si="0"/>
        <v>-0.14420034897409015</v>
      </c>
      <c r="G13" s="5"/>
      <c r="H13" s="5">
        <f t="shared" si="1"/>
        <v>-2.7912479643475874E-2</v>
      </c>
      <c r="I13" s="5"/>
    </row>
    <row r="14" spans="1:14" ht="14.4" x14ac:dyDescent="0.3">
      <c r="A14" s="1">
        <v>34711</v>
      </c>
      <c r="B14" s="4">
        <v>158.5</v>
      </c>
      <c r="C14" s="2">
        <v>0.76719999999999999</v>
      </c>
      <c r="D14" s="2">
        <v>1.3034399999999999</v>
      </c>
      <c r="F14" s="5">
        <f t="shared" si="0"/>
        <v>4.5168968367911372E-2</v>
      </c>
      <c r="G14" s="5"/>
      <c r="H14" s="5">
        <f t="shared" si="1"/>
        <v>8.5678707007132583E-3</v>
      </c>
      <c r="I14" s="5"/>
    </row>
    <row r="15" spans="1:14" ht="14.4" x14ac:dyDescent="0.3">
      <c r="A15" s="1">
        <v>34742</v>
      </c>
      <c r="B15" s="4">
        <v>155</v>
      </c>
      <c r="C15" s="2">
        <v>0.74570000000000003</v>
      </c>
      <c r="D15" s="2">
        <v>1.3410200000000001</v>
      </c>
      <c r="F15" s="5">
        <f t="shared" si="0"/>
        <v>-2.2329476398088657E-2</v>
      </c>
      <c r="G15" s="5"/>
      <c r="H15" s="5">
        <f t="shared" si="1"/>
        <v>2.8423595018865138E-2</v>
      </c>
      <c r="I15" s="5"/>
    </row>
    <row r="16" spans="1:14" ht="14.4" x14ac:dyDescent="0.3">
      <c r="A16" s="1">
        <v>34770</v>
      </c>
      <c r="B16" s="4">
        <v>159</v>
      </c>
      <c r="C16" s="2">
        <v>0.74550000000000005</v>
      </c>
      <c r="D16" s="2">
        <v>1.34138</v>
      </c>
      <c r="F16" s="5">
        <f t="shared" si="0"/>
        <v>2.5479085300984968E-2</v>
      </c>
      <c r="G16" s="5"/>
      <c r="H16" s="5">
        <f t="shared" si="1"/>
        <v>2.6841634518433446E-4</v>
      </c>
      <c r="I16" s="5"/>
    </row>
    <row r="17" spans="1:9" ht="14.4" x14ac:dyDescent="0.3">
      <c r="A17" s="1">
        <v>34801</v>
      </c>
      <c r="B17" s="4">
        <v>168</v>
      </c>
      <c r="C17" s="2">
        <v>0.74380000000000002</v>
      </c>
      <c r="D17" s="2">
        <v>1.3444499999999999</v>
      </c>
      <c r="F17" s="5">
        <f t="shared" si="0"/>
        <v>5.5059777183027389E-2</v>
      </c>
      <c r="G17" s="5"/>
      <c r="H17" s="5">
        <f t="shared" si="1"/>
        <v>2.2860727127314777E-3</v>
      </c>
      <c r="I17" s="5"/>
    </row>
    <row r="18" spans="1:9" ht="14.4" x14ac:dyDescent="0.3">
      <c r="A18" s="1">
        <v>34831</v>
      </c>
      <c r="B18" s="4">
        <v>156</v>
      </c>
      <c r="C18" s="2">
        <v>0.74029999999999996</v>
      </c>
      <c r="D18" s="2">
        <v>1.3508</v>
      </c>
      <c r="F18" s="5">
        <f t="shared" si="0"/>
        <v>-7.4107972153721849E-2</v>
      </c>
      <c r="G18" s="5"/>
      <c r="H18" s="5">
        <f t="shared" si="1"/>
        <v>4.7120020399322934E-3</v>
      </c>
      <c r="I18" s="5"/>
    </row>
    <row r="19" spans="1:9" ht="14.4" x14ac:dyDescent="0.3">
      <c r="A19" s="1">
        <v>34862</v>
      </c>
      <c r="B19" s="4">
        <v>161</v>
      </c>
      <c r="C19" s="2">
        <v>0.71840000000000004</v>
      </c>
      <c r="D19" s="2">
        <v>1.39198</v>
      </c>
      <c r="F19" s="5">
        <f t="shared" si="0"/>
        <v>3.1548357734926057E-2</v>
      </c>
      <c r="G19" s="5"/>
      <c r="H19" s="5">
        <f t="shared" si="1"/>
        <v>3.0030184463642359E-2</v>
      </c>
      <c r="I19" s="5"/>
    </row>
    <row r="20" spans="1:9" ht="14.4" x14ac:dyDescent="0.3">
      <c r="A20" s="1">
        <v>34892</v>
      </c>
      <c r="B20" s="4">
        <v>158</v>
      </c>
      <c r="C20" s="2">
        <v>0.72219999999999995</v>
      </c>
      <c r="D20" s="2">
        <v>1.38466</v>
      </c>
      <c r="F20" s="5">
        <f t="shared" si="0"/>
        <v>-1.8809331957496227E-2</v>
      </c>
      <c r="G20" s="5"/>
      <c r="H20" s="5">
        <f t="shared" si="1"/>
        <v>-5.2725718551923364E-3</v>
      </c>
      <c r="I20" s="5"/>
    </row>
    <row r="21" spans="1:9" ht="15.75" customHeight="1" x14ac:dyDescent="0.3">
      <c r="A21" s="1">
        <v>34923</v>
      </c>
      <c r="B21" s="4">
        <v>156</v>
      </c>
      <c r="C21" s="2">
        <v>0.74180000000000001</v>
      </c>
      <c r="D21" s="2">
        <v>1.3480700000000001</v>
      </c>
      <c r="F21" s="5">
        <f t="shared" si="0"/>
        <v>-1.2739025777429714E-2</v>
      </c>
      <c r="G21" s="5"/>
      <c r="H21" s="5">
        <f t="shared" si="1"/>
        <v>-2.6780682212479912E-2</v>
      </c>
      <c r="I21" s="5"/>
    </row>
    <row r="22" spans="1:9" ht="15.75" customHeight="1" x14ac:dyDescent="0.3">
      <c r="A22" s="1">
        <v>34954</v>
      </c>
      <c r="B22" s="4">
        <v>169</v>
      </c>
      <c r="C22" s="2">
        <v>0.76039999999999996</v>
      </c>
      <c r="D22" s="2">
        <v>1.3150999999999999</v>
      </c>
      <c r="F22" s="5">
        <f t="shared" si="0"/>
        <v>8.0042707673536356E-2</v>
      </c>
      <c r="G22" s="5"/>
      <c r="H22" s="5">
        <f t="shared" si="1"/>
        <v>-2.4761231559463422E-2</v>
      </c>
      <c r="I22" s="5"/>
    </row>
    <row r="23" spans="1:9" ht="15.75" customHeight="1" x14ac:dyDescent="0.3">
      <c r="A23" s="1">
        <v>34984</v>
      </c>
      <c r="B23" s="4">
        <v>166</v>
      </c>
      <c r="C23" s="2">
        <v>0.75870000000000004</v>
      </c>
      <c r="D23" s="2">
        <v>1.3180400000000001</v>
      </c>
      <c r="F23" s="5">
        <f t="shared" si="0"/>
        <v>-1.7910926566530219E-2</v>
      </c>
      <c r="G23" s="5"/>
      <c r="H23" s="5">
        <f t="shared" si="1"/>
        <v>2.233076267668538E-3</v>
      </c>
      <c r="I23" s="5"/>
    </row>
    <row r="24" spans="1:9" ht="15.75" customHeight="1" x14ac:dyDescent="0.3">
      <c r="A24" s="1">
        <v>35015</v>
      </c>
      <c r="B24" s="4">
        <v>167.5</v>
      </c>
      <c r="C24" s="2">
        <v>0.73829999999999996</v>
      </c>
      <c r="D24" s="2">
        <v>1.35446</v>
      </c>
      <c r="F24" s="5">
        <f t="shared" si="0"/>
        <v>8.9955629085777828E-3</v>
      </c>
      <c r="G24" s="5"/>
      <c r="H24" s="5">
        <f t="shared" si="1"/>
        <v>2.7257066281186033E-2</v>
      </c>
      <c r="I24" s="5"/>
    </row>
    <row r="25" spans="1:9" ht="15.75" customHeight="1" x14ac:dyDescent="0.3">
      <c r="A25" s="1">
        <v>35045</v>
      </c>
      <c r="B25" s="4">
        <v>182.5</v>
      </c>
      <c r="C25" s="2">
        <v>0.74080000000000001</v>
      </c>
      <c r="D25" s="2">
        <v>1.34989</v>
      </c>
      <c r="F25" s="5">
        <f t="shared" si="0"/>
        <v>8.5766821757425102E-2</v>
      </c>
      <c r="G25" s="5"/>
      <c r="H25" s="5">
        <f t="shared" si="1"/>
        <v>-3.3797432655762231E-3</v>
      </c>
      <c r="I25" s="5"/>
    </row>
    <row r="26" spans="1:9" ht="15.75" customHeight="1" x14ac:dyDescent="0.3">
      <c r="A26" s="1">
        <v>35076</v>
      </c>
      <c r="B26" s="4">
        <v>190</v>
      </c>
      <c r="C26" s="2">
        <v>0.74629999999999996</v>
      </c>
      <c r="D26" s="2">
        <v>1.3399399999999999</v>
      </c>
      <c r="F26" s="5">
        <f t="shared" si="0"/>
        <v>4.0273899137939898E-2</v>
      </c>
      <c r="G26" s="5"/>
      <c r="H26" s="5">
        <f t="shared" si="1"/>
        <v>-7.3982708081237695E-3</v>
      </c>
      <c r="I26" s="5"/>
    </row>
    <row r="27" spans="1:9" ht="15.75" customHeight="1" x14ac:dyDescent="0.3">
      <c r="A27" s="1">
        <v>35107</v>
      </c>
      <c r="B27" s="4">
        <v>171.5</v>
      </c>
      <c r="C27" s="2">
        <v>0.75419999999999998</v>
      </c>
      <c r="D27" s="2">
        <v>1.3259099999999999</v>
      </c>
      <c r="F27" s="5">
        <f t="shared" si="0"/>
        <v>-0.1024408055544915</v>
      </c>
      <c r="G27" s="5"/>
      <c r="H27" s="5">
        <f t="shared" si="1"/>
        <v>-1.0525820683930175E-2</v>
      </c>
      <c r="I27" s="5"/>
    </row>
    <row r="28" spans="1:9" ht="15.75" customHeight="1" x14ac:dyDescent="0.3">
      <c r="A28" s="1">
        <v>35136</v>
      </c>
      <c r="B28" s="4">
        <v>202</v>
      </c>
      <c r="C28" s="2">
        <v>0.77090000000000003</v>
      </c>
      <c r="D28" s="2">
        <v>1.29718</v>
      </c>
      <c r="F28" s="5">
        <f t="shared" si="0"/>
        <v>0.16368443079521017</v>
      </c>
      <c r="G28" s="5"/>
      <c r="H28" s="5">
        <f t="shared" si="1"/>
        <v>-2.1906338647839842E-2</v>
      </c>
      <c r="I28" s="5"/>
    </row>
    <row r="29" spans="1:9" ht="15.75" customHeight="1" x14ac:dyDescent="0.3">
      <c r="A29" s="1">
        <v>35167</v>
      </c>
      <c r="B29" s="4">
        <v>208.5</v>
      </c>
      <c r="C29" s="2">
        <v>0.79039999999999999</v>
      </c>
      <c r="D29" s="2">
        <v>1.26518</v>
      </c>
      <c r="F29" s="5">
        <f t="shared" si="0"/>
        <v>3.1671343837651404E-2</v>
      </c>
      <c r="G29" s="5"/>
      <c r="H29" s="5">
        <f t="shared" si="1"/>
        <v>-2.4978272962180619E-2</v>
      </c>
      <c r="I29" s="5"/>
    </row>
    <row r="30" spans="1:9" ht="15.75" customHeight="1" x14ac:dyDescent="0.3">
      <c r="A30" s="1">
        <v>35197</v>
      </c>
      <c r="B30" s="4">
        <v>180</v>
      </c>
      <c r="C30" s="2">
        <v>0.80359999999999998</v>
      </c>
      <c r="D30" s="2">
        <v>1.2444</v>
      </c>
      <c r="F30" s="5">
        <f t="shared" si="0"/>
        <v>-0.14698219034864582</v>
      </c>
      <c r="G30" s="5"/>
      <c r="H30" s="5">
        <f t="shared" si="1"/>
        <v>-1.6560918505641106E-2</v>
      </c>
      <c r="I30" s="5"/>
    </row>
    <row r="31" spans="1:9" ht="15.75" customHeight="1" x14ac:dyDescent="0.3">
      <c r="A31" s="1">
        <v>35228</v>
      </c>
      <c r="B31" s="4">
        <v>172</v>
      </c>
      <c r="C31" s="2">
        <v>0.79149999999999998</v>
      </c>
      <c r="D31" s="2">
        <v>1.26342</v>
      </c>
      <c r="F31" s="5">
        <f t="shared" si="0"/>
        <v>-4.5462374076757288E-2</v>
      </c>
      <c r="G31" s="5"/>
      <c r="H31" s="5">
        <f t="shared" si="1"/>
        <v>1.5168843615012778E-2</v>
      </c>
      <c r="I31" s="5"/>
    </row>
    <row r="32" spans="1:9" ht="15.75" customHeight="1" x14ac:dyDescent="0.3">
      <c r="A32" s="1">
        <v>35258</v>
      </c>
      <c r="B32" s="4">
        <v>181.5</v>
      </c>
      <c r="C32" s="2">
        <v>0.79730000000000001</v>
      </c>
      <c r="D32" s="2">
        <v>1.25423</v>
      </c>
      <c r="F32" s="5">
        <f t="shared" si="0"/>
        <v>5.3761176891452524E-2</v>
      </c>
      <c r="G32" s="5"/>
      <c r="H32" s="5">
        <f t="shared" si="1"/>
        <v>-7.3004911856010832E-3</v>
      </c>
      <c r="I32" s="5"/>
    </row>
    <row r="33" spans="1:9" ht="15.75" customHeight="1" x14ac:dyDescent="0.3">
      <c r="A33" s="1">
        <v>35289</v>
      </c>
      <c r="B33" s="4">
        <v>184</v>
      </c>
      <c r="C33" s="2">
        <v>0.77729999999999999</v>
      </c>
      <c r="D33" s="2">
        <v>1.2865</v>
      </c>
      <c r="F33" s="5">
        <f t="shared" si="0"/>
        <v>1.3680103904080176E-2</v>
      </c>
      <c r="G33" s="5"/>
      <c r="H33" s="5">
        <f t="shared" si="1"/>
        <v>2.5403514268905105E-2</v>
      </c>
      <c r="I33" s="5"/>
    </row>
    <row r="34" spans="1:9" ht="15.75" customHeight="1" x14ac:dyDescent="0.3">
      <c r="A34" s="1">
        <v>35320</v>
      </c>
      <c r="B34" s="4">
        <v>241</v>
      </c>
      <c r="C34" s="2">
        <v>0.79649999999999999</v>
      </c>
      <c r="D34" s="2">
        <v>1.25549</v>
      </c>
      <c r="F34" s="5">
        <f t="shared" si="0"/>
        <v>0.2698611758816693</v>
      </c>
      <c r="G34" s="5"/>
      <c r="H34" s="5">
        <f t="shared" si="1"/>
        <v>-2.4399418110081054E-2</v>
      </c>
      <c r="I34" s="5"/>
    </row>
    <row r="35" spans="1:9" ht="15.75" customHeight="1" x14ac:dyDescent="0.3">
      <c r="A35" s="1">
        <v>35350</v>
      </c>
      <c r="B35" s="4">
        <v>243.5</v>
      </c>
      <c r="C35" s="2">
        <v>0.79100000000000004</v>
      </c>
      <c r="D35" s="2">
        <v>1.2642199999999999</v>
      </c>
      <c r="F35" s="5">
        <f t="shared" si="0"/>
        <v>1.0320009031989449E-2</v>
      </c>
      <c r="G35" s="5"/>
      <c r="H35" s="5">
        <f t="shared" si="1"/>
        <v>6.9293965829422665E-3</v>
      </c>
      <c r="I35" s="5"/>
    </row>
    <row r="36" spans="1:9" ht="15.75" customHeight="1" x14ac:dyDescent="0.3">
      <c r="A36" s="1">
        <v>35381</v>
      </c>
      <c r="B36" s="4">
        <v>230</v>
      </c>
      <c r="C36" s="2">
        <v>0.78759999999999997</v>
      </c>
      <c r="D36" s="2">
        <v>1.2696799999999999</v>
      </c>
      <c r="F36" s="5">
        <f t="shared" si="0"/>
        <v>-5.7037633599449092E-2</v>
      </c>
      <c r="G36" s="5"/>
      <c r="H36" s="5">
        <f t="shared" si="1"/>
        <v>4.3095690046431245E-3</v>
      </c>
      <c r="I36" s="5"/>
    </row>
    <row r="37" spans="1:9" ht="15.75" customHeight="1" x14ac:dyDescent="0.3">
      <c r="A37" s="1">
        <v>35411</v>
      </c>
      <c r="B37" s="4">
        <v>230.5</v>
      </c>
      <c r="C37" s="2">
        <v>0.79290000000000005</v>
      </c>
      <c r="D37" s="2">
        <v>1.26119</v>
      </c>
      <c r="F37" s="5">
        <f t="shared" si="0"/>
        <v>2.1715535135079325E-3</v>
      </c>
      <c r="G37" s="5"/>
      <c r="H37" s="5">
        <f t="shared" si="1"/>
        <v>-6.7091805163809427E-3</v>
      </c>
      <c r="I37" s="5"/>
    </row>
    <row r="38" spans="1:9" ht="15.75" customHeight="1" x14ac:dyDescent="0.3">
      <c r="A38" s="1">
        <v>35442</v>
      </c>
      <c r="B38" s="4">
        <v>244</v>
      </c>
      <c r="C38" s="2">
        <v>0.78049999999999997</v>
      </c>
      <c r="D38" s="2">
        <v>1.2812300000000001</v>
      </c>
      <c r="F38" s="5">
        <f t="shared" si="0"/>
        <v>5.6917362856498725E-2</v>
      </c>
      <c r="G38" s="5"/>
      <c r="H38" s="5">
        <f t="shared" si="1"/>
        <v>1.5764834325865153E-2</v>
      </c>
      <c r="I38" s="5"/>
    </row>
    <row r="39" spans="1:9" ht="15.75" customHeight="1" x14ac:dyDescent="0.3">
      <c r="A39" s="1">
        <v>35473</v>
      </c>
      <c r="B39" s="4">
        <v>197</v>
      </c>
      <c r="C39" s="2">
        <v>0.75629999999999997</v>
      </c>
      <c r="D39" s="2">
        <v>1.32223</v>
      </c>
      <c r="F39" s="5">
        <f t="shared" si="0"/>
        <v>-0.21396449655521341</v>
      </c>
      <c r="G39" s="5"/>
      <c r="H39" s="5">
        <f t="shared" si="1"/>
        <v>3.1499151090254342E-2</v>
      </c>
      <c r="I39" s="5"/>
    </row>
    <row r="40" spans="1:9" ht="15.75" customHeight="1" x14ac:dyDescent="0.3">
      <c r="A40" s="1">
        <v>35501</v>
      </c>
      <c r="B40" s="4">
        <v>174</v>
      </c>
      <c r="C40" s="2">
        <v>0.79490000000000005</v>
      </c>
      <c r="D40" s="2">
        <v>1.2580199999999999</v>
      </c>
      <c r="F40" s="5">
        <f t="shared" si="0"/>
        <v>-0.1241484295234595</v>
      </c>
      <c r="G40" s="5"/>
      <c r="H40" s="5">
        <f t="shared" si="1"/>
        <v>-4.9780648713839297E-2</v>
      </c>
      <c r="I40" s="5"/>
    </row>
    <row r="41" spans="1:9" ht="15.75" customHeight="1" x14ac:dyDescent="0.3">
      <c r="A41" s="1">
        <v>35532</v>
      </c>
      <c r="B41" s="4">
        <v>176</v>
      </c>
      <c r="C41" s="2">
        <v>0.78620000000000001</v>
      </c>
      <c r="D41" s="2">
        <v>1.2719400000000001</v>
      </c>
      <c r="F41" s="5">
        <f t="shared" si="0"/>
        <v>1.142869582362285E-2</v>
      </c>
      <c r="G41" s="5"/>
      <c r="H41" s="5">
        <f t="shared" si="1"/>
        <v>1.1004237591013998E-2</v>
      </c>
      <c r="I41" s="5"/>
    </row>
    <row r="42" spans="1:9" ht="15.75" customHeight="1" x14ac:dyDescent="0.3">
      <c r="A42" s="1">
        <v>35562</v>
      </c>
      <c r="B42" s="4">
        <v>175</v>
      </c>
      <c r="C42" s="2">
        <v>0.77880000000000005</v>
      </c>
      <c r="D42" s="2">
        <v>1.28403</v>
      </c>
      <c r="F42" s="5">
        <f t="shared" si="0"/>
        <v>-5.6980211146377786E-3</v>
      </c>
      <c r="G42" s="5"/>
      <c r="H42" s="5">
        <f t="shared" si="1"/>
        <v>9.4602754867262571E-3</v>
      </c>
      <c r="I42" s="5"/>
    </row>
    <row r="43" spans="1:9" ht="15.75" customHeight="1" x14ac:dyDescent="0.3">
      <c r="A43" s="1">
        <v>35593</v>
      </c>
      <c r="B43" s="4">
        <v>174</v>
      </c>
      <c r="C43" s="2">
        <v>0.75280000000000002</v>
      </c>
      <c r="D43" s="2">
        <v>1.3283700000000001</v>
      </c>
      <c r="F43" s="5">
        <f t="shared" si="0"/>
        <v>-5.7306747089849834E-3</v>
      </c>
      <c r="G43" s="5"/>
      <c r="H43" s="5">
        <f t="shared" si="1"/>
        <v>3.394905722546783E-2</v>
      </c>
      <c r="I43" s="5"/>
    </row>
    <row r="44" spans="1:9" ht="15.75" customHeight="1" x14ac:dyDescent="0.3">
      <c r="A44" s="1">
        <v>35623</v>
      </c>
      <c r="B44" s="4">
        <v>168.5</v>
      </c>
      <c r="C44" s="2">
        <v>0.7429</v>
      </c>
      <c r="D44" s="2">
        <v>1.3460799999999999</v>
      </c>
      <c r="F44" s="5">
        <f t="shared" si="0"/>
        <v>-3.2119549422112662E-2</v>
      </c>
      <c r="G44" s="5"/>
      <c r="H44" s="5">
        <f t="shared" si="1"/>
        <v>1.3244038114093125E-2</v>
      </c>
      <c r="I44" s="5"/>
    </row>
    <row r="45" spans="1:9" ht="15.75" customHeight="1" x14ac:dyDescent="0.3">
      <c r="A45" s="1">
        <v>35654</v>
      </c>
      <c r="B45" s="4">
        <v>179</v>
      </c>
      <c r="C45" s="2">
        <v>0.73829999999999996</v>
      </c>
      <c r="D45" s="2">
        <v>1.35446</v>
      </c>
      <c r="F45" s="5">
        <f t="shared" si="0"/>
        <v>6.045005604833862E-2</v>
      </c>
      <c r="G45" s="5"/>
      <c r="H45" s="5">
        <f t="shared" si="1"/>
        <v>6.2061860942702182E-3</v>
      </c>
      <c r="I45" s="5"/>
    </row>
    <row r="46" spans="1:9" ht="15.75" customHeight="1" x14ac:dyDescent="0.3">
      <c r="A46" s="1">
        <v>35685</v>
      </c>
      <c r="B46" s="4">
        <v>169</v>
      </c>
      <c r="C46" s="2">
        <v>0.72150000000000003</v>
      </c>
      <c r="D46" s="2">
        <v>1.3859999999999999</v>
      </c>
      <c r="F46" s="5">
        <f t="shared" si="0"/>
        <v>-5.7487090917681581E-2</v>
      </c>
      <c r="G46" s="5"/>
      <c r="H46" s="5">
        <f t="shared" si="1"/>
        <v>2.3019049853074711E-2</v>
      </c>
      <c r="I46" s="5"/>
    </row>
    <row r="47" spans="1:9" ht="15.75" customHeight="1" x14ac:dyDescent="0.3">
      <c r="A47" s="1">
        <v>35715</v>
      </c>
      <c r="B47" s="4">
        <v>183.5</v>
      </c>
      <c r="C47" s="2">
        <v>0.73680000000000001</v>
      </c>
      <c r="D47" s="2">
        <v>1.3572200000000001</v>
      </c>
      <c r="F47" s="5">
        <f t="shared" si="0"/>
        <v>8.2315952571551582E-2</v>
      </c>
      <c r="G47" s="5"/>
      <c r="H47" s="5">
        <f t="shared" si="1"/>
        <v>-2.0983410726717621E-2</v>
      </c>
      <c r="I47" s="5"/>
    </row>
    <row r="48" spans="1:9" ht="15.75" customHeight="1" x14ac:dyDescent="0.3">
      <c r="A48" s="1">
        <v>35746</v>
      </c>
      <c r="B48" s="4">
        <v>182</v>
      </c>
      <c r="C48" s="2">
        <v>0.69369999999999998</v>
      </c>
      <c r="D48" s="2">
        <v>1.44154</v>
      </c>
      <c r="F48" s="5">
        <f t="shared" si="0"/>
        <v>-8.2079804178296217E-3</v>
      </c>
      <c r="G48" s="5"/>
      <c r="H48" s="5">
        <f t="shared" si="1"/>
        <v>6.0273496543035161E-2</v>
      </c>
      <c r="I48" s="5"/>
    </row>
    <row r="49" spans="1:9" ht="15.75" customHeight="1" x14ac:dyDescent="0.3">
      <c r="A49" s="1">
        <v>35776</v>
      </c>
      <c r="B49" s="4">
        <v>168</v>
      </c>
      <c r="C49" s="2">
        <v>0.66249999999999998</v>
      </c>
      <c r="D49" s="2">
        <v>1.50943</v>
      </c>
      <c r="F49" s="5">
        <f t="shared" si="0"/>
        <v>-8.004270767353637E-2</v>
      </c>
      <c r="G49" s="5"/>
      <c r="H49" s="5">
        <f t="shared" si="1"/>
        <v>4.6020109534285522E-2</v>
      </c>
      <c r="I49" s="5"/>
    </row>
    <row r="50" spans="1:9" ht="15.75" customHeight="1" x14ac:dyDescent="0.3">
      <c r="A50" s="1">
        <v>35807</v>
      </c>
      <c r="B50" s="4">
        <v>152</v>
      </c>
      <c r="C50" s="2">
        <v>0.64059999999999995</v>
      </c>
      <c r="D50" s="2">
        <v>1.56104</v>
      </c>
      <c r="F50" s="5">
        <f t="shared" si="0"/>
        <v>-0.10008345855698253</v>
      </c>
      <c r="G50" s="5"/>
      <c r="H50" s="5">
        <f t="shared" si="1"/>
        <v>3.3620169686291626E-2</v>
      </c>
      <c r="I50" s="5"/>
    </row>
    <row r="51" spans="1:9" ht="15.75" customHeight="1" x14ac:dyDescent="0.3">
      <c r="A51" s="1">
        <v>35838</v>
      </c>
      <c r="B51" s="4">
        <v>141.5</v>
      </c>
      <c r="C51" s="2">
        <v>0.67810000000000004</v>
      </c>
      <c r="D51" s="2">
        <v>1.47471</v>
      </c>
      <c r="F51" s="5">
        <f t="shared" si="0"/>
        <v>-7.1580803762984035E-2</v>
      </c>
      <c r="G51" s="5"/>
      <c r="H51" s="5">
        <f t="shared" si="1"/>
        <v>-5.6890905512627654E-2</v>
      </c>
      <c r="I51" s="5"/>
    </row>
    <row r="52" spans="1:9" ht="15.75" customHeight="1" x14ac:dyDescent="0.3">
      <c r="A52" s="1">
        <v>35866</v>
      </c>
      <c r="B52" s="4">
        <v>117</v>
      </c>
      <c r="C52" s="2">
        <v>0.66879999999999995</v>
      </c>
      <c r="D52" s="2">
        <v>1.4952099999999999</v>
      </c>
      <c r="F52" s="5">
        <f t="shared" si="0"/>
        <v>-0.1901257822855362</v>
      </c>
      <c r="G52" s="5"/>
      <c r="H52" s="5">
        <f t="shared" si="1"/>
        <v>1.3805304913358268E-2</v>
      </c>
      <c r="I52" s="5"/>
    </row>
    <row r="53" spans="1:9" ht="15.75" customHeight="1" x14ac:dyDescent="0.3">
      <c r="A53" s="1">
        <v>35897</v>
      </c>
      <c r="B53" s="4">
        <v>126</v>
      </c>
      <c r="C53" s="2">
        <v>0.65710000000000002</v>
      </c>
      <c r="D53" s="2">
        <v>1.5218400000000001</v>
      </c>
      <c r="F53" s="5">
        <f t="shared" si="0"/>
        <v>7.4107972153721835E-2</v>
      </c>
      <c r="G53" s="5"/>
      <c r="H53" s="5">
        <f t="shared" si="1"/>
        <v>1.7653463872412033E-2</v>
      </c>
      <c r="I53" s="5"/>
    </row>
    <row r="54" spans="1:9" ht="15.75" customHeight="1" x14ac:dyDescent="0.3">
      <c r="A54" s="1">
        <v>35927</v>
      </c>
      <c r="B54" s="4">
        <v>141</v>
      </c>
      <c r="C54" s="2">
        <v>0.63390000000000002</v>
      </c>
      <c r="D54" s="2">
        <v>1.5775399999999999</v>
      </c>
      <c r="F54" s="5">
        <f t="shared" si="0"/>
        <v>0.1124779834266903</v>
      </c>
      <c r="G54" s="5"/>
      <c r="H54" s="5">
        <f t="shared" si="1"/>
        <v>3.5946542610871837E-2</v>
      </c>
      <c r="I54" s="5"/>
    </row>
    <row r="55" spans="1:9" ht="15.75" customHeight="1" x14ac:dyDescent="0.3">
      <c r="A55" s="1">
        <v>35958</v>
      </c>
      <c r="B55" s="4">
        <v>124.5</v>
      </c>
      <c r="C55" s="2">
        <v>0.59340000000000004</v>
      </c>
      <c r="D55" s="2">
        <v>1.6852</v>
      </c>
      <c r="F55" s="5">
        <f t="shared" si="0"/>
        <v>-0.12445417447340598</v>
      </c>
      <c r="G55" s="5"/>
      <c r="H55" s="5">
        <f t="shared" si="1"/>
        <v>6.6017579434103829E-2</v>
      </c>
      <c r="I55" s="5"/>
    </row>
    <row r="56" spans="1:9" ht="15.75" customHeight="1" x14ac:dyDescent="0.3">
      <c r="A56" s="1">
        <v>35988</v>
      </c>
      <c r="B56" s="4">
        <v>108.5</v>
      </c>
      <c r="C56" s="2">
        <v>0.61480000000000001</v>
      </c>
      <c r="D56" s="2">
        <v>1.6265400000000001</v>
      </c>
      <c r="F56" s="5">
        <f t="shared" si="0"/>
        <v>-0.13755554292424813</v>
      </c>
      <c r="G56" s="5"/>
      <c r="H56" s="5">
        <f t="shared" si="1"/>
        <v>-3.5429191810173753E-2</v>
      </c>
      <c r="I56" s="5"/>
    </row>
    <row r="57" spans="1:9" ht="15.75" customHeight="1" x14ac:dyDescent="0.3">
      <c r="A57" s="1">
        <v>36019</v>
      </c>
      <c r="B57" s="4">
        <v>110</v>
      </c>
      <c r="C57" s="2">
        <v>0.59640000000000004</v>
      </c>
      <c r="D57" s="2">
        <v>1.6767300000000001</v>
      </c>
      <c r="F57" s="5">
        <f t="shared" si="0"/>
        <v>1.3730192811902037E-2</v>
      </c>
      <c r="G57" s="5"/>
      <c r="H57" s="5">
        <f t="shared" si="1"/>
        <v>3.0390408777433119E-2</v>
      </c>
      <c r="I57" s="5"/>
    </row>
    <row r="58" spans="1:9" ht="15.75" customHeight="1" x14ac:dyDescent="0.3">
      <c r="A58" s="1">
        <v>36050</v>
      </c>
      <c r="B58" s="4">
        <v>129</v>
      </c>
      <c r="C58" s="2">
        <v>0.60199999999999998</v>
      </c>
      <c r="D58" s="2">
        <v>1.66113</v>
      </c>
      <c r="F58" s="5">
        <f t="shared" si="0"/>
        <v>0.15933203856925579</v>
      </c>
      <c r="G58" s="5"/>
      <c r="H58" s="5">
        <f t="shared" si="1"/>
        <v>-9.3473744167015607E-3</v>
      </c>
      <c r="I58" s="5"/>
    </row>
    <row r="59" spans="1:9" ht="15.75" customHeight="1" x14ac:dyDescent="0.3">
      <c r="A59" s="1">
        <v>36080</v>
      </c>
      <c r="B59" s="4">
        <v>136</v>
      </c>
      <c r="C59" s="2">
        <v>0.62580000000000002</v>
      </c>
      <c r="D59" s="2">
        <v>1.59795</v>
      </c>
      <c r="F59" s="5">
        <f t="shared" si="0"/>
        <v>5.2842481374379982E-2</v>
      </c>
      <c r="G59" s="5"/>
      <c r="H59" s="5">
        <f t="shared" si="1"/>
        <v>-3.8776535930102933E-2</v>
      </c>
      <c r="I59" s="5"/>
    </row>
    <row r="60" spans="1:9" ht="15.75" customHeight="1" x14ac:dyDescent="0.3">
      <c r="A60" s="1">
        <v>36111</v>
      </c>
      <c r="B60" s="4">
        <v>122.5</v>
      </c>
      <c r="C60" s="2">
        <v>0.63080000000000003</v>
      </c>
      <c r="D60" s="2">
        <v>1.5852900000000001</v>
      </c>
      <c r="F60" s="5">
        <f t="shared" si="0"/>
        <v>-0.10454385575127031</v>
      </c>
      <c r="G60" s="5"/>
      <c r="H60" s="5">
        <f t="shared" si="1"/>
        <v>-7.9542018503597663E-3</v>
      </c>
      <c r="I60" s="5"/>
    </row>
    <row r="61" spans="1:9" ht="15.75" customHeight="1" x14ac:dyDescent="0.3">
      <c r="A61" s="1">
        <v>36141</v>
      </c>
      <c r="B61" s="4">
        <v>102</v>
      </c>
      <c r="C61" s="2">
        <v>0.61980000000000002</v>
      </c>
      <c r="D61" s="2">
        <v>1.6134200000000001</v>
      </c>
      <c r="F61" s="5">
        <f t="shared" si="0"/>
        <v>-0.18313821670051061</v>
      </c>
      <c r="G61" s="5"/>
      <c r="H61" s="5">
        <f t="shared" si="1"/>
        <v>1.7588793733061495E-2</v>
      </c>
      <c r="I61" s="5"/>
    </row>
    <row r="62" spans="1:9" ht="15.75" customHeight="1" x14ac:dyDescent="0.3">
      <c r="A62" s="1">
        <v>36172</v>
      </c>
      <c r="B62" s="4">
        <v>118.5</v>
      </c>
      <c r="C62" s="2">
        <v>0.6421</v>
      </c>
      <c r="D62" s="2">
        <v>1.5573900000000001</v>
      </c>
      <c r="F62" s="5">
        <f t="shared" si="0"/>
        <v>0.14994014729091487</v>
      </c>
      <c r="G62" s="5"/>
      <c r="H62" s="5">
        <f t="shared" si="1"/>
        <v>-3.5344806443753624E-2</v>
      </c>
      <c r="I62" s="5"/>
    </row>
    <row r="63" spans="1:9" ht="15.75" customHeight="1" x14ac:dyDescent="0.3">
      <c r="A63" s="1">
        <v>36203</v>
      </c>
      <c r="B63" s="4">
        <v>113.5</v>
      </c>
      <c r="C63" s="2">
        <v>0.64639999999999997</v>
      </c>
      <c r="D63" s="2">
        <v>1.5470299999999999</v>
      </c>
      <c r="F63" s="5">
        <f t="shared" si="0"/>
        <v>-4.3110123653728551E-2</v>
      </c>
      <c r="G63" s="5"/>
      <c r="H63" s="5">
        <f t="shared" si="1"/>
        <v>-6.674379406894331E-3</v>
      </c>
      <c r="I63" s="5"/>
    </row>
    <row r="64" spans="1:9" ht="15.75" customHeight="1" x14ac:dyDescent="0.3">
      <c r="A64" s="1">
        <v>36231</v>
      </c>
      <c r="B64" s="4">
        <v>123</v>
      </c>
      <c r="C64" s="2">
        <v>0.63600000000000001</v>
      </c>
      <c r="D64" s="2">
        <v>1.57233</v>
      </c>
      <c r="F64" s="5">
        <f t="shared" si="0"/>
        <v>8.0381518450960115E-2</v>
      </c>
      <c r="G64" s="5"/>
      <c r="H64" s="5">
        <f t="shared" si="1"/>
        <v>1.6221631865014696E-2</v>
      </c>
      <c r="I64" s="5"/>
    </row>
    <row r="65" spans="1:9" ht="15.75" customHeight="1" x14ac:dyDescent="0.3">
      <c r="A65" s="1">
        <v>36262</v>
      </c>
      <c r="B65" s="4">
        <v>144</v>
      </c>
      <c r="C65" s="2">
        <v>0.63519999999999999</v>
      </c>
      <c r="D65" s="2">
        <v>1.5743100000000001</v>
      </c>
      <c r="F65" s="5">
        <f t="shared" si="0"/>
        <v>0.15762894420358306</v>
      </c>
      <c r="G65" s="5"/>
      <c r="H65" s="5">
        <f t="shared" si="1"/>
        <v>1.2584854074980298E-3</v>
      </c>
      <c r="I65" s="5"/>
    </row>
    <row r="66" spans="1:9" ht="15.75" customHeight="1" x14ac:dyDescent="0.3">
      <c r="A66" s="1">
        <v>36292</v>
      </c>
      <c r="B66" s="4">
        <v>144.5</v>
      </c>
      <c r="C66" s="2">
        <v>0.66749999999999998</v>
      </c>
      <c r="D66" s="2">
        <v>1.49813</v>
      </c>
      <c r="F66" s="5">
        <f t="shared" si="0"/>
        <v>3.4662079764863291E-3</v>
      </c>
      <c r="G66" s="5"/>
      <c r="H66" s="5">
        <f t="shared" si="1"/>
        <v>-4.959941734158857E-2</v>
      </c>
      <c r="I66" s="5"/>
    </row>
    <row r="67" spans="1:9" ht="15.75" customHeight="1" x14ac:dyDescent="0.3">
      <c r="A67" s="1">
        <v>36323</v>
      </c>
      <c r="B67" s="4">
        <v>131</v>
      </c>
      <c r="C67" s="2">
        <v>0.66539999999999999</v>
      </c>
      <c r="D67" s="2">
        <v>1.5028600000000001</v>
      </c>
      <c r="F67" s="5">
        <f t="shared" si="0"/>
        <v>-9.8082184351335297E-2</v>
      </c>
      <c r="G67" s="5"/>
      <c r="H67" s="5">
        <f t="shared" si="1"/>
        <v>3.1522956869705909E-3</v>
      </c>
      <c r="I67" s="5"/>
    </row>
    <row r="68" spans="1:9" ht="15.75" customHeight="1" x14ac:dyDescent="0.3">
      <c r="A68" s="1">
        <v>36353</v>
      </c>
      <c r="B68" s="4">
        <v>172.5</v>
      </c>
      <c r="C68" s="2">
        <v>0.66239999999999999</v>
      </c>
      <c r="D68" s="2">
        <v>1.50966</v>
      </c>
      <c r="F68" s="5">
        <f t="shared" si="0"/>
        <v>0.27519991327026283</v>
      </c>
      <c r="G68" s="5"/>
      <c r="H68" s="5">
        <f t="shared" si="1"/>
        <v>4.5145005172199286E-3</v>
      </c>
      <c r="I68" s="5"/>
    </row>
    <row r="69" spans="1:9" ht="15.75" customHeight="1" x14ac:dyDescent="0.3">
      <c r="A69" s="1">
        <v>36384</v>
      </c>
      <c r="B69" s="4">
        <v>170</v>
      </c>
      <c r="C69" s="2">
        <v>0.64880000000000004</v>
      </c>
      <c r="D69" s="2">
        <v>1.54131</v>
      </c>
      <c r="F69" s="5">
        <f t="shared" ref="F69:F132" si="2">LN(B69/B68)</f>
        <v>-1.4598799421152636E-2</v>
      </c>
      <c r="G69" s="5"/>
      <c r="H69" s="5">
        <f t="shared" ref="H69:H132" si="3">LN(D69/D68)</f>
        <v>2.0748244268727557E-2</v>
      </c>
      <c r="I69" s="5"/>
    </row>
    <row r="70" spans="1:9" ht="15.75" customHeight="1" x14ac:dyDescent="0.3">
      <c r="A70" s="1">
        <v>36415</v>
      </c>
      <c r="B70" s="4">
        <v>198.5</v>
      </c>
      <c r="C70" s="2">
        <v>0.65129999999999999</v>
      </c>
      <c r="D70" s="2">
        <v>1.53539</v>
      </c>
      <c r="F70" s="5">
        <f t="shared" si="2"/>
        <v>0.15499066307698339</v>
      </c>
      <c r="G70" s="5"/>
      <c r="H70" s="5">
        <f t="shared" si="3"/>
        <v>-3.8482837494155531E-3</v>
      </c>
      <c r="I70" s="5"/>
    </row>
    <row r="71" spans="1:9" ht="15.75" customHeight="1" x14ac:dyDescent="0.3">
      <c r="A71" s="1">
        <v>36445</v>
      </c>
      <c r="B71" s="4">
        <v>199</v>
      </c>
      <c r="C71" s="2">
        <v>0.65459999999999996</v>
      </c>
      <c r="D71" s="2">
        <v>1.52765</v>
      </c>
      <c r="F71" s="5">
        <f t="shared" si="2"/>
        <v>2.5157245972473705E-3</v>
      </c>
      <c r="G71" s="5"/>
      <c r="H71" s="5">
        <f t="shared" si="3"/>
        <v>-5.0538135146509034E-3</v>
      </c>
      <c r="I71" s="5"/>
    </row>
    <row r="72" spans="1:9" ht="15.75" customHeight="1" x14ac:dyDescent="0.3">
      <c r="A72" s="1">
        <v>36476</v>
      </c>
      <c r="B72" s="4">
        <v>219</v>
      </c>
      <c r="C72" s="2">
        <v>0.64349999999999996</v>
      </c>
      <c r="D72" s="2">
        <v>1.554</v>
      </c>
      <c r="F72" s="5">
        <f t="shared" si="2"/>
        <v>9.5766905092008414E-2</v>
      </c>
      <c r="G72" s="5"/>
      <c r="H72" s="5">
        <f t="shared" si="3"/>
        <v>1.7101645030446998E-2</v>
      </c>
      <c r="I72" s="5"/>
    </row>
    <row r="73" spans="1:9" ht="15.75" customHeight="1" x14ac:dyDescent="0.3">
      <c r="A73" s="1">
        <v>36506</v>
      </c>
      <c r="B73" s="4">
        <v>238</v>
      </c>
      <c r="C73" s="2">
        <v>0.63660000000000005</v>
      </c>
      <c r="D73" s="2">
        <v>1.57084</v>
      </c>
      <c r="F73" s="5">
        <f t="shared" si="2"/>
        <v>8.3198943854973922E-2</v>
      </c>
      <c r="G73" s="5"/>
      <c r="H73" s="5">
        <f t="shared" si="3"/>
        <v>1.0778256183388169E-2</v>
      </c>
      <c r="I73" s="5"/>
    </row>
    <row r="74" spans="1:9" ht="15.75" customHeight="1" x14ac:dyDescent="0.3">
      <c r="A74" s="1">
        <v>36537</v>
      </c>
      <c r="B74" s="4">
        <v>253</v>
      </c>
      <c r="C74" s="2">
        <v>0.65880000000000005</v>
      </c>
      <c r="D74" s="2">
        <v>1.5179100000000001</v>
      </c>
      <c r="F74" s="5">
        <f t="shared" si="2"/>
        <v>6.1118815056045536E-2</v>
      </c>
      <c r="G74" s="5"/>
      <c r="H74" s="5">
        <f t="shared" si="3"/>
        <v>-3.4276119450589775E-2</v>
      </c>
      <c r="I74" s="5"/>
    </row>
    <row r="75" spans="1:9" ht="15.75" customHeight="1" x14ac:dyDescent="0.3">
      <c r="A75" s="1">
        <v>36568</v>
      </c>
      <c r="B75" s="4">
        <v>257.5</v>
      </c>
      <c r="C75" s="2">
        <v>0.62919999999999998</v>
      </c>
      <c r="D75" s="2">
        <v>1.5893200000000001</v>
      </c>
      <c r="F75" s="5">
        <f t="shared" si="2"/>
        <v>1.7630231376270501E-2</v>
      </c>
      <c r="G75" s="5"/>
      <c r="H75" s="5">
        <f t="shared" si="3"/>
        <v>4.5971863119749851E-2</v>
      </c>
      <c r="I75" s="5"/>
    </row>
    <row r="76" spans="1:9" ht="15.75" customHeight="1" x14ac:dyDescent="0.3">
      <c r="A76" s="1">
        <v>36597</v>
      </c>
      <c r="B76" s="4">
        <v>266.5</v>
      </c>
      <c r="C76" s="2">
        <v>0.61399999999999999</v>
      </c>
      <c r="D76" s="2">
        <v>1.62866</v>
      </c>
      <c r="F76" s="5">
        <f t="shared" si="2"/>
        <v>3.4354523502108422E-2</v>
      </c>
      <c r="G76" s="5"/>
      <c r="H76" s="5">
        <f t="shared" si="3"/>
        <v>2.4451339033181786E-2</v>
      </c>
      <c r="I76" s="5"/>
    </row>
    <row r="77" spans="1:9" ht="15.75" customHeight="1" x14ac:dyDescent="0.3">
      <c r="A77" s="1">
        <v>36628</v>
      </c>
      <c r="B77" s="4">
        <v>250</v>
      </c>
      <c r="C77" s="2">
        <v>0.59740000000000004</v>
      </c>
      <c r="D77" s="2">
        <v>1.6739200000000001</v>
      </c>
      <c r="F77" s="5">
        <f t="shared" si="2"/>
        <v>-6.3913325743652771E-2</v>
      </c>
      <c r="G77" s="5"/>
      <c r="H77" s="5">
        <f t="shared" si="3"/>
        <v>2.7410590368923484E-2</v>
      </c>
      <c r="I77" s="5"/>
    </row>
    <row r="78" spans="1:9" ht="15.75" customHeight="1" x14ac:dyDescent="0.3">
      <c r="A78" s="1">
        <v>36658</v>
      </c>
      <c r="B78" s="4">
        <v>238</v>
      </c>
      <c r="C78" s="2">
        <v>0.57950000000000002</v>
      </c>
      <c r="D78" s="2">
        <v>1.72563</v>
      </c>
      <c r="F78" s="5">
        <f t="shared" si="2"/>
        <v>-4.9190244190771781E-2</v>
      </c>
      <c r="G78" s="5"/>
      <c r="H78" s="5">
        <f t="shared" si="3"/>
        <v>3.042401999888027E-2</v>
      </c>
      <c r="I78" s="5"/>
    </row>
    <row r="79" spans="1:9" ht="15.75" customHeight="1" x14ac:dyDescent="0.3">
      <c r="A79" s="1">
        <v>36689</v>
      </c>
      <c r="B79" s="4">
        <v>254.5</v>
      </c>
      <c r="C79" s="2">
        <v>0.59099999999999997</v>
      </c>
      <c r="D79" s="2">
        <v>1.6920500000000001</v>
      </c>
      <c r="F79" s="5">
        <f t="shared" si="2"/>
        <v>6.7030162319102721E-2</v>
      </c>
      <c r="G79" s="5"/>
      <c r="H79" s="5">
        <f t="shared" si="3"/>
        <v>-1.9651389624151923E-2</v>
      </c>
      <c r="I79" s="5"/>
    </row>
    <row r="80" spans="1:9" ht="15.75" customHeight="1" x14ac:dyDescent="0.3">
      <c r="A80" s="1">
        <v>36719</v>
      </c>
      <c r="B80" s="4">
        <v>279.5</v>
      </c>
      <c r="C80" s="2">
        <v>0.59030000000000005</v>
      </c>
      <c r="D80" s="2">
        <v>1.6940500000000001</v>
      </c>
      <c r="F80" s="5">
        <f t="shared" si="2"/>
        <v>9.3701456604576336E-2</v>
      </c>
      <c r="G80" s="5"/>
      <c r="H80" s="5">
        <f t="shared" si="3"/>
        <v>1.1813001580451843E-3</v>
      </c>
      <c r="I80" s="5"/>
    </row>
    <row r="81" spans="1:9" ht="15.75" customHeight="1" x14ac:dyDescent="0.3">
      <c r="A81" s="1">
        <v>36750</v>
      </c>
      <c r="B81" s="4">
        <v>272</v>
      </c>
      <c r="C81" s="2">
        <v>0.57979999999999998</v>
      </c>
      <c r="D81" s="2">
        <v>1.7247300000000001</v>
      </c>
      <c r="F81" s="5">
        <f t="shared" si="2"/>
        <v>-2.7200226299156485E-2</v>
      </c>
      <c r="G81" s="5"/>
      <c r="H81" s="5">
        <f t="shared" si="3"/>
        <v>1.7948404760504143E-2</v>
      </c>
      <c r="I81" s="5"/>
    </row>
    <row r="82" spans="1:9" ht="15.75" customHeight="1" x14ac:dyDescent="0.3">
      <c r="A82" s="1">
        <v>36781</v>
      </c>
      <c r="B82" s="4">
        <v>346.5</v>
      </c>
      <c r="C82" s="2">
        <v>0.56000000000000005</v>
      </c>
      <c r="D82" s="2">
        <v>1.7857099999999999</v>
      </c>
      <c r="F82" s="5">
        <f t="shared" si="2"/>
        <v>0.24208075233396062</v>
      </c>
      <c r="G82" s="5"/>
      <c r="H82" s="5">
        <f t="shared" si="3"/>
        <v>3.4745578756675222E-2</v>
      </c>
      <c r="I82" s="5"/>
    </row>
    <row r="83" spans="1:9" ht="15.75" customHeight="1" x14ac:dyDescent="0.3">
      <c r="A83" s="1">
        <v>36811</v>
      </c>
      <c r="B83" s="4">
        <v>363.5</v>
      </c>
      <c r="C83" s="2">
        <v>0.53159999999999996</v>
      </c>
      <c r="D83" s="2">
        <v>1.8811100000000001</v>
      </c>
      <c r="F83" s="5">
        <f t="shared" si="2"/>
        <v>4.78964783436161E-2</v>
      </c>
      <c r="G83" s="5"/>
      <c r="H83" s="5">
        <f t="shared" si="3"/>
        <v>5.2045932891133802E-2</v>
      </c>
      <c r="I83" s="5"/>
    </row>
    <row r="84" spans="1:9" ht="15.75" customHeight="1" x14ac:dyDescent="0.3">
      <c r="A84" s="1">
        <v>36842</v>
      </c>
      <c r="B84" s="4">
        <v>314.5</v>
      </c>
      <c r="C84" s="2">
        <v>0.5232</v>
      </c>
      <c r="D84" s="2">
        <v>1.9113100000000001</v>
      </c>
      <c r="F84" s="5">
        <f t="shared" si="2"/>
        <v>-0.14479522083307889</v>
      </c>
      <c r="G84" s="5"/>
      <c r="H84" s="5">
        <f t="shared" si="3"/>
        <v>1.5926842694551361E-2</v>
      </c>
      <c r="I84" s="5"/>
    </row>
    <row r="85" spans="1:9" ht="15.75" customHeight="1" x14ac:dyDescent="0.3">
      <c r="A85" s="1">
        <v>36872</v>
      </c>
      <c r="B85" s="4">
        <v>275.5</v>
      </c>
      <c r="C85" s="2">
        <v>0.54090000000000005</v>
      </c>
      <c r="D85" s="2">
        <v>1.84877</v>
      </c>
      <c r="F85" s="5">
        <f t="shared" si="2"/>
        <v>-0.13239644754752608</v>
      </c>
      <c r="G85" s="5"/>
      <c r="H85" s="5">
        <f t="shared" si="3"/>
        <v>-3.3268317731038596E-2</v>
      </c>
      <c r="I85" s="5"/>
    </row>
    <row r="86" spans="1:9" ht="15.75" customHeight="1" x14ac:dyDescent="0.3">
      <c r="A86" s="1">
        <v>36903</v>
      </c>
      <c r="B86" s="4">
        <v>232</v>
      </c>
      <c r="C86" s="2">
        <v>0.55649999999999999</v>
      </c>
      <c r="D86" s="2">
        <v>1.79694</v>
      </c>
      <c r="F86" s="5">
        <f t="shared" si="2"/>
        <v>-0.17185025692665928</v>
      </c>
      <c r="G86" s="5"/>
      <c r="H86" s="5">
        <f t="shared" si="3"/>
        <v>-2.8435334842347223E-2</v>
      </c>
      <c r="I86" s="5"/>
    </row>
    <row r="87" spans="1:9" ht="15.75" customHeight="1" x14ac:dyDescent="0.3">
      <c r="A87" s="1">
        <v>36934</v>
      </c>
      <c r="B87" s="4">
        <v>230</v>
      </c>
      <c r="C87" s="2">
        <v>0.53810000000000002</v>
      </c>
      <c r="D87" s="2">
        <v>1.85839</v>
      </c>
      <c r="F87" s="5">
        <f t="shared" si="2"/>
        <v>-8.6580627431145415E-3</v>
      </c>
      <c r="G87" s="5"/>
      <c r="H87" s="5">
        <f t="shared" si="3"/>
        <v>3.3625303224343539E-2</v>
      </c>
      <c r="I87" s="5"/>
    </row>
    <row r="88" spans="1:9" ht="15.75" customHeight="1" x14ac:dyDescent="0.3">
      <c r="A88" s="1">
        <v>36962</v>
      </c>
      <c r="B88" s="4">
        <v>229</v>
      </c>
      <c r="C88" s="2">
        <v>0.50990000000000002</v>
      </c>
      <c r="D88" s="2">
        <v>1.9611700000000001</v>
      </c>
      <c r="F88" s="5">
        <f t="shared" si="2"/>
        <v>-4.3573053689557007E-3</v>
      </c>
      <c r="G88" s="5"/>
      <c r="H88" s="5">
        <f t="shared" si="3"/>
        <v>5.3830712434152134E-2</v>
      </c>
      <c r="I88" s="5"/>
    </row>
    <row r="89" spans="1:9" ht="15.75" customHeight="1" x14ac:dyDescent="0.3">
      <c r="A89" s="1">
        <v>36993</v>
      </c>
      <c r="B89" s="4">
        <v>232</v>
      </c>
      <c r="C89" s="2">
        <v>0.50780000000000003</v>
      </c>
      <c r="D89" s="2">
        <v>1.9692799999999999</v>
      </c>
      <c r="F89" s="5">
        <f t="shared" si="2"/>
        <v>1.3015368112070227E-2</v>
      </c>
      <c r="G89" s="5"/>
      <c r="H89" s="5">
        <f t="shared" si="3"/>
        <v>4.1267597906280533E-3</v>
      </c>
      <c r="I89" s="5"/>
    </row>
    <row r="90" spans="1:9" ht="15.75" customHeight="1" x14ac:dyDescent="0.3">
      <c r="A90" s="1">
        <v>37023</v>
      </c>
      <c r="B90" s="4">
        <v>231</v>
      </c>
      <c r="C90" s="2">
        <v>0.5212</v>
      </c>
      <c r="D90" s="2">
        <v>1.91865</v>
      </c>
      <c r="F90" s="5">
        <f t="shared" si="2"/>
        <v>-4.3196611445163961E-3</v>
      </c>
      <c r="G90" s="5"/>
      <c r="H90" s="5">
        <f t="shared" si="3"/>
        <v>-2.6046179980110471E-2</v>
      </c>
      <c r="I90" s="5"/>
    </row>
    <row r="91" spans="1:9" ht="15.75" customHeight="1" x14ac:dyDescent="0.3">
      <c r="A91" s="1">
        <v>37054</v>
      </c>
      <c r="B91" s="4">
        <v>240.5</v>
      </c>
      <c r="C91" s="2">
        <v>0.52390000000000003</v>
      </c>
      <c r="D91" s="2">
        <v>1.90876</v>
      </c>
      <c r="F91" s="5">
        <f t="shared" si="2"/>
        <v>4.0302379024022325E-2</v>
      </c>
      <c r="G91" s="5"/>
      <c r="H91" s="5">
        <f t="shared" si="3"/>
        <v>-5.1679971636139545E-3</v>
      </c>
      <c r="I91" s="5"/>
    </row>
    <row r="92" spans="1:9" ht="15.75" customHeight="1" x14ac:dyDescent="0.3">
      <c r="A92" s="1">
        <v>37084</v>
      </c>
      <c r="B92" s="4">
        <v>214</v>
      </c>
      <c r="C92" s="2">
        <v>0.50449999999999995</v>
      </c>
      <c r="D92" s="2">
        <v>1.9821599999999999</v>
      </c>
      <c r="F92" s="5">
        <f t="shared" si="2"/>
        <v>-0.11674407452396433</v>
      </c>
      <c r="G92" s="5"/>
      <c r="H92" s="5">
        <f t="shared" si="3"/>
        <v>3.7733342620673412E-2</v>
      </c>
      <c r="I92" s="5"/>
    </row>
    <row r="93" spans="1:9" ht="15.75" customHeight="1" x14ac:dyDescent="0.3">
      <c r="A93" s="1">
        <v>37115</v>
      </c>
      <c r="B93" s="4">
        <v>220</v>
      </c>
      <c r="C93" s="2">
        <v>0.51459999999999995</v>
      </c>
      <c r="D93" s="2">
        <v>1.94326</v>
      </c>
      <c r="F93" s="5">
        <f t="shared" si="2"/>
        <v>2.7651531330509949E-2</v>
      </c>
      <c r="G93" s="5"/>
      <c r="H93" s="5">
        <f t="shared" si="3"/>
        <v>-1.982018405521449E-2</v>
      </c>
      <c r="I93" s="5"/>
    </row>
    <row r="94" spans="1:9" ht="15.75" customHeight="1" x14ac:dyDescent="0.3">
      <c r="A94" s="1">
        <v>37146</v>
      </c>
      <c r="B94" s="4">
        <v>238</v>
      </c>
      <c r="C94" s="2">
        <v>0.5171</v>
      </c>
      <c r="D94" s="2">
        <v>1.9338599999999999</v>
      </c>
      <c r="F94" s="5">
        <f t="shared" si="2"/>
        <v>7.8643127319113132E-2</v>
      </c>
      <c r="G94" s="5"/>
      <c r="H94" s="5">
        <f t="shared" si="3"/>
        <v>-4.848969553752411E-3</v>
      </c>
      <c r="I94" s="5"/>
    </row>
    <row r="95" spans="1:9" ht="15.75" customHeight="1" x14ac:dyDescent="0.3">
      <c r="A95" s="1">
        <v>37176</v>
      </c>
      <c r="B95" s="4">
        <v>191</v>
      </c>
      <c r="C95" s="2">
        <v>0.50070000000000003</v>
      </c>
      <c r="D95" s="2">
        <v>1.9972000000000001</v>
      </c>
      <c r="F95" s="5">
        <f t="shared" si="2"/>
        <v>-0.21999724562484477</v>
      </c>
      <c r="G95" s="5"/>
      <c r="H95" s="5">
        <f t="shared" si="3"/>
        <v>3.2228194064850002E-2</v>
      </c>
      <c r="I95" s="5"/>
    </row>
    <row r="96" spans="1:9" ht="15.75" customHeight="1" x14ac:dyDescent="0.3">
      <c r="A96" s="1">
        <v>37207</v>
      </c>
      <c r="B96" s="4">
        <v>180.5</v>
      </c>
      <c r="C96" s="2">
        <v>0.51910000000000001</v>
      </c>
      <c r="D96" s="2">
        <v>1.92641</v>
      </c>
      <c r="F96" s="5">
        <f t="shared" si="2"/>
        <v>-5.6542650273694296E-2</v>
      </c>
      <c r="G96" s="5"/>
      <c r="H96" s="5">
        <f t="shared" si="3"/>
        <v>-3.6088032495525363E-2</v>
      </c>
      <c r="I96" s="5"/>
    </row>
    <row r="97" spans="1:9" ht="15.75" customHeight="1" x14ac:dyDescent="0.3">
      <c r="A97" s="1">
        <v>37237</v>
      </c>
      <c r="B97" s="4">
        <v>141</v>
      </c>
      <c r="C97" s="2">
        <v>0.51910000000000001</v>
      </c>
      <c r="D97" s="2">
        <v>1.92641</v>
      </c>
      <c r="F97" s="5">
        <f t="shared" si="2"/>
        <v>-0.24697088739476736</v>
      </c>
      <c r="G97" s="5"/>
      <c r="H97" s="5">
        <f t="shared" si="3"/>
        <v>0</v>
      </c>
      <c r="I97" s="5"/>
    </row>
    <row r="98" spans="1:9" ht="15.75" customHeight="1" x14ac:dyDescent="0.3">
      <c r="A98" s="1">
        <v>37268</v>
      </c>
      <c r="B98" s="4">
        <v>156</v>
      </c>
      <c r="C98" s="2">
        <v>0.52100000000000002</v>
      </c>
      <c r="D98" s="2">
        <v>1.9193800000000001</v>
      </c>
      <c r="F98" s="5">
        <f t="shared" si="2"/>
        <v>0.10109611687136881</v>
      </c>
      <c r="G98" s="5"/>
      <c r="H98" s="5">
        <f t="shared" si="3"/>
        <v>-3.6559499245818077E-3</v>
      </c>
      <c r="I98" s="5"/>
    </row>
    <row r="99" spans="1:9" ht="15.75" customHeight="1" x14ac:dyDescent="0.3">
      <c r="A99" s="1">
        <v>37299</v>
      </c>
      <c r="B99" s="4">
        <v>149.5</v>
      </c>
      <c r="C99" s="2">
        <v>0.5091</v>
      </c>
      <c r="D99" s="2">
        <v>1.9642500000000001</v>
      </c>
      <c r="F99" s="5">
        <f t="shared" si="2"/>
        <v>-4.2559614418795889E-2</v>
      </c>
      <c r="G99" s="5"/>
      <c r="H99" s="5">
        <f t="shared" si="3"/>
        <v>2.3108275849583915E-2</v>
      </c>
      <c r="I99" s="5"/>
    </row>
    <row r="100" spans="1:9" ht="15.75" customHeight="1" x14ac:dyDescent="0.3">
      <c r="A100" s="1">
        <v>37327</v>
      </c>
      <c r="B100" s="4">
        <v>185</v>
      </c>
      <c r="C100" s="2">
        <v>0.52</v>
      </c>
      <c r="D100" s="2">
        <v>1.9230799999999999</v>
      </c>
      <c r="F100" s="5">
        <f t="shared" si="2"/>
        <v>0.21305943224758375</v>
      </c>
      <c r="G100" s="5"/>
      <c r="H100" s="5">
        <f t="shared" si="3"/>
        <v>-2.1182425668409995E-2</v>
      </c>
      <c r="I100" s="5"/>
    </row>
    <row r="101" spans="1:9" ht="15.75" customHeight="1" x14ac:dyDescent="0.3">
      <c r="A101" s="1">
        <v>37358</v>
      </c>
      <c r="B101" s="4">
        <v>171</v>
      </c>
      <c r="C101" s="2">
        <v>0.53439999999999999</v>
      </c>
      <c r="D101" s="2">
        <v>1.8712599999999999</v>
      </c>
      <c r="F101" s="5">
        <f t="shared" si="2"/>
        <v>-7.8692268575664984E-2</v>
      </c>
      <c r="G101" s="5"/>
      <c r="H101" s="5">
        <f t="shared" si="3"/>
        <v>-2.7316066646586146E-2</v>
      </c>
      <c r="I101" s="5"/>
    </row>
    <row r="102" spans="1:9" ht="15.75" customHeight="1" x14ac:dyDescent="0.3">
      <c r="A102" s="1">
        <v>37388</v>
      </c>
      <c r="B102" s="4">
        <v>201</v>
      </c>
      <c r="C102" s="2">
        <v>0.54449999999999998</v>
      </c>
      <c r="D102" s="2">
        <v>1.8365499999999999</v>
      </c>
      <c r="F102" s="5">
        <f t="shared" si="2"/>
        <v>0.16164135155641599</v>
      </c>
      <c r="G102" s="5"/>
      <c r="H102" s="5">
        <f t="shared" si="3"/>
        <v>-1.8723189150763875E-2</v>
      </c>
      <c r="I102" s="5"/>
    </row>
    <row r="103" spans="1:9" ht="15.75" customHeight="1" x14ac:dyDescent="0.3">
      <c r="A103" s="1">
        <v>37419</v>
      </c>
      <c r="B103" s="4">
        <v>183</v>
      </c>
      <c r="C103" s="2">
        <v>0.57010000000000005</v>
      </c>
      <c r="D103" s="2">
        <v>1.7540800000000001</v>
      </c>
      <c r="F103" s="5">
        <f t="shared" si="2"/>
        <v>-9.3818755217654856E-2</v>
      </c>
      <c r="G103" s="5"/>
      <c r="H103" s="5">
        <f t="shared" si="3"/>
        <v>-4.5944308663941114E-2</v>
      </c>
      <c r="I103" s="5"/>
    </row>
    <row r="104" spans="1:9" ht="15.75" customHeight="1" x14ac:dyDescent="0.3">
      <c r="A104" s="1">
        <v>37449</v>
      </c>
      <c r="B104" s="4">
        <v>201</v>
      </c>
      <c r="C104" s="2">
        <v>0.5575</v>
      </c>
      <c r="D104" s="2">
        <v>1.79372</v>
      </c>
      <c r="F104" s="5">
        <f t="shared" si="2"/>
        <v>9.3818755217654912E-2</v>
      </c>
      <c r="G104" s="5"/>
      <c r="H104" s="5">
        <f t="shared" si="3"/>
        <v>2.2347172703165438E-2</v>
      </c>
      <c r="I104" s="5"/>
    </row>
    <row r="105" spans="1:9" ht="15.75" customHeight="1" x14ac:dyDescent="0.3">
      <c r="A105" s="1">
        <v>37480</v>
      </c>
      <c r="B105" s="4">
        <v>195.5</v>
      </c>
      <c r="C105" s="2">
        <v>0.53969999999999996</v>
      </c>
      <c r="D105" s="2">
        <v>1.8528800000000001</v>
      </c>
      <c r="F105" s="5">
        <f t="shared" si="2"/>
        <v>-2.7744528633655334E-2</v>
      </c>
      <c r="G105" s="5"/>
      <c r="H105" s="5">
        <f t="shared" si="3"/>
        <v>3.2449509710061213E-2</v>
      </c>
      <c r="I105" s="5"/>
    </row>
    <row r="106" spans="1:9" ht="15.75" customHeight="1" x14ac:dyDescent="0.3">
      <c r="A106" s="1">
        <v>37511</v>
      </c>
      <c r="B106" s="4">
        <v>238.5</v>
      </c>
      <c r="C106" s="2">
        <v>0.55169999999999997</v>
      </c>
      <c r="D106" s="2">
        <v>1.8125800000000001</v>
      </c>
      <c r="F106" s="5">
        <f t="shared" si="2"/>
        <v>0.19880893090297547</v>
      </c>
      <c r="G106" s="5"/>
      <c r="H106" s="5">
        <f t="shared" si="3"/>
        <v>-2.1989940653641994E-2</v>
      </c>
      <c r="I106" s="5"/>
    </row>
    <row r="107" spans="1:9" ht="15.75" customHeight="1" x14ac:dyDescent="0.3">
      <c r="A107" s="1">
        <v>37541</v>
      </c>
      <c r="B107" s="4">
        <v>240.5</v>
      </c>
      <c r="C107" s="2">
        <v>0.54920000000000002</v>
      </c>
      <c r="D107" s="2">
        <v>1.8208299999999999</v>
      </c>
      <c r="F107" s="5">
        <f t="shared" si="2"/>
        <v>8.3507792174198885E-3</v>
      </c>
      <c r="G107" s="5"/>
      <c r="H107" s="5">
        <f t="shared" si="3"/>
        <v>4.5411963846300578E-3</v>
      </c>
      <c r="I107" s="5"/>
    </row>
    <row r="108" spans="1:9" ht="15.75" customHeight="1" x14ac:dyDescent="0.3">
      <c r="A108" s="1">
        <v>37572</v>
      </c>
      <c r="B108" s="4">
        <v>197.5</v>
      </c>
      <c r="C108" s="2">
        <v>0.5615</v>
      </c>
      <c r="D108" s="2">
        <v>1.78094</v>
      </c>
      <c r="F108" s="5">
        <f t="shared" si="2"/>
        <v>-0.19698150520463933</v>
      </c>
      <c r="G108" s="5"/>
      <c r="H108" s="5">
        <f t="shared" si="3"/>
        <v>-2.2151126287066527E-2</v>
      </c>
      <c r="I108" s="5"/>
    </row>
    <row r="109" spans="1:9" ht="15.75" customHeight="1" x14ac:dyDescent="0.3">
      <c r="A109" s="1">
        <v>37602</v>
      </c>
      <c r="B109" s="4">
        <v>239</v>
      </c>
      <c r="C109" s="2">
        <v>0.56510000000000005</v>
      </c>
      <c r="D109" s="2">
        <v>1.7696000000000001</v>
      </c>
      <c r="F109" s="5">
        <f t="shared" si="2"/>
        <v>0.19072496759033411</v>
      </c>
      <c r="G109" s="5"/>
      <c r="H109" s="5">
        <f t="shared" si="3"/>
        <v>-6.3877824553624681E-3</v>
      </c>
      <c r="I109" s="5"/>
    </row>
    <row r="110" spans="1:9" ht="15.75" customHeight="1" x14ac:dyDescent="0.3">
      <c r="A110" s="1">
        <v>37633</v>
      </c>
      <c r="B110" s="4">
        <v>260.5</v>
      </c>
      <c r="C110" s="2">
        <v>0.58209999999999995</v>
      </c>
      <c r="D110" s="2">
        <v>1.7179199999999999</v>
      </c>
      <c r="F110" s="5">
        <f t="shared" si="2"/>
        <v>8.6139309261910879E-2</v>
      </c>
      <c r="G110" s="5"/>
      <c r="H110" s="5">
        <f t="shared" si="3"/>
        <v>-2.9639275642190425E-2</v>
      </c>
      <c r="I110" s="5"/>
    </row>
    <row r="111" spans="1:9" ht="15.75" customHeight="1" x14ac:dyDescent="0.3">
      <c r="A111" s="1">
        <v>37664</v>
      </c>
      <c r="B111" s="4">
        <v>345.5</v>
      </c>
      <c r="C111" s="2">
        <v>0.59099999999999997</v>
      </c>
      <c r="D111" s="2">
        <v>1.6920500000000001</v>
      </c>
      <c r="F111" s="5">
        <f t="shared" si="2"/>
        <v>0.28238978201430293</v>
      </c>
      <c r="G111" s="5"/>
      <c r="H111" s="5">
        <f t="shared" si="3"/>
        <v>-1.517344512885066E-2</v>
      </c>
      <c r="I111" s="5"/>
    </row>
    <row r="112" spans="1:9" ht="15.75" customHeight="1" x14ac:dyDescent="0.3">
      <c r="A112" s="1">
        <v>37692</v>
      </c>
      <c r="B112" s="4">
        <v>345.5</v>
      </c>
      <c r="C112" s="2">
        <v>0.59424999999999994</v>
      </c>
      <c r="D112" s="2">
        <v>1.68279</v>
      </c>
      <c r="F112" s="5">
        <f t="shared" si="2"/>
        <v>0</v>
      </c>
      <c r="G112" s="5"/>
      <c r="H112" s="5">
        <f t="shared" si="3"/>
        <v>-5.4876813350897974E-3</v>
      </c>
      <c r="I112" s="5"/>
    </row>
    <row r="113" spans="1:9" ht="15.75" customHeight="1" x14ac:dyDescent="0.3">
      <c r="A113" s="1">
        <v>37723</v>
      </c>
      <c r="B113" s="4">
        <v>217</v>
      </c>
      <c r="C113" s="2">
        <v>0.60485</v>
      </c>
      <c r="D113" s="2">
        <v>1.6533</v>
      </c>
      <c r="F113" s="5">
        <f t="shared" si="2"/>
        <v>-0.46509528966726499</v>
      </c>
      <c r="G113" s="5"/>
      <c r="H113" s="5">
        <f t="shared" si="3"/>
        <v>-1.76798396645855E-2</v>
      </c>
      <c r="I113" s="5"/>
    </row>
    <row r="114" spans="1:9" ht="15.75" customHeight="1" x14ac:dyDescent="0.3">
      <c r="A114" s="1">
        <v>37753</v>
      </c>
      <c r="B114" s="4">
        <v>221</v>
      </c>
      <c r="C114" s="2">
        <v>0.64715</v>
      </c>
      <c r="D114" s="2">
        <v>1.5452399999999999</v>
      </c>
      <c r="F114" s="5">
        <f t="shared" si="2"/>
        <v>1.8265347977293189E-2</v>
      </c>
      <c r="G114" s="5"/>
      <c r="H114" s="5">
        <f t="shared" si="3"/>
        <v>-6.7594052483606601E-2</v>
      </c>
      <c r="I114" s="5"/>
    </row>
    <row r="115" spans="1:9" ht="15.75" customHeight="1" x14ac:dyDescent="0.3">
      <c r="A115" s="1">
        <v>37784</v>
      </c>
      <c r="B115" s="4">
        <v>239.5</v>
      </c>
      <c r="C115" s="2">
        <v>0.66410000000000002</v>
      </c>
      <c r="D115" s="2">
        <v>1.5058</v>
      </c>
      <c r="F115" s="5">
        <f t="shared" si="2"/>
        <v>8.0390715333217039E-2</v>
      </c>
      <c r="G115" s="5"/>
      <c r="H115" s="5">
        <f t="shared" si="3"/>
        <v>-2.5854919657670842E-2</v>
      </c>
      <c r="I115" s="5"/>
    </row>
    <row r="116" spans="1:9" ht="15.75" customHeight="1" x14ac:dyDescent="0.3">
      <c r="A116" s="1">
        <v>37814</v>
      </c>
      <c r="B116" s="4">
        <v>232</v>
      </c>
      <c r="C116" s="2">
        <v>0.65825</v>
      </c>
      <c r="D116" s="2">
        <v>1.51918</v>
      </c>
      <c r="F116" s="5">
        <f t="shared" si="2"/>
        <v>-3.1816045184659941E-2</v>
      </c>
      <c r="G116" s="5"/>
      <c r="H116" s="5">
        <f t="shared" si="3"/>
        <v>8.8463971718056901E-3</v>
      </c>
      <c r="I116" s="5"/>
    </row>
    <row r="117" spans="1:9" ht="15.75" customHeight="1" x14ac:dyDescent="0.3">
      <c r="A117" s="1">
        <v>37845</v>
      </c>
      <c r="B117" s="4">
        <v>255.5</v>
      </c>
      <c r="C117" s="2">
        <v>0.65744999999999998</v>
      </c>
      <c r="D117" s="2">
        <v>1.5210300000000001</v>
      </c>
      <c r="F117" s="5">
        <f t="shared" si="2"/>
        <v>9.6485037977449117E-2</v>
      </c>
      <c r="G117" s="5"/>
      <c r="H117" s="5">
        <f t="shared" si="3"/>
        <v>1.217021342829951E-3</v>
      </c>
      <c r="I117" s="5"/>
    </row>
    <row r="118" spans="1:9" ht="15.75" customHeight="1" x14ac:dyDescent="0.3">
      <c r="A118" s="1">
        <v>37876</v>
      </c>
      <c r="B118" s="4">
        <v>236.5</v>
      </c>
      <c r="C118" s="2">
        <v>0.66269999999999996</v>
      </c>
      <c r="D118" s="2">
        <v>1.50898</v>
      </c>
      <c r="F118" s="5">
        <f t="shared" si="2"/>
        <v>-7.7274201711771462E-2</v>
      </c>
      <c r="G118" s="5"/>
      <c r="H118" s="5">
        <f t="shared" si="3"/>
        <v>-7.9538110611118863E-3</v>
      </c>
      <c r="I118" s="5"/>
    </row>
    <row r="119" spans="1:9" ht="15.75" customHeight="1" x14ac:dyDescent="0.3">
      <c r="A119" s="1">
        <v>37906</v>
      </c>
      <c r="B119" s="4">
        <v>297.25</v>
      </c>
      <c r="C119" s="2">
        <v>0.69199999999999995</v>
      </c>
      <c r="D119" s="2">
        <v>1.44509</v>
      </c>
      <c r="F119" s="5">
        <f t="shared" si="2"/>
        <v>0.22862532763890347</v>
      </c>
      <c r="G119" s="5"/>
      <c r="H119" s="5">
        <f t="shared" si="3"/>
        <v>-4.326232252554052E-2</v>
      </c>
      <c r="I119" s="5"/>
    </row>
    <row r="120" spans="1:9" ht="15.75" customHeight="1" x14ac:dyDescent="0.3">
      <c r="A120" s="1">
        <v>37937</v>
      </c>
      <c r="B120" s="4">
        <v>282.5</v>
      </c>
      <c r="C120" s="2">
        <v>0.71694999999999998</v>
      </c>
      <c r="D120" s="2">
        <v>1.3948</v>
      </c>
      <c r="F120" s="5">
        <f t="shared" si="2"/>
        <v>-5.0894984984395611E-2</v>
      </c>
      <c r="G120" s="5"/>
      <c r="H120" s="5">
        <f t="shared" si="3"/>
        <v>-3.5420567542509156E-2</v>
      </c>
      <c r="I120" s="5"/>
    </row>
    <row r="121" spans="1:9" ht="15.75" customHeight="1" x14ac:dyDescent="0.3">
      <c r="A121" s="1">
        <v>37967</v>
      </c>
      <c r="B121" s="4">
        <v>297.25</v>
      </c>
      <c r="C121" s="2">
        <v>0.74239999999999995</v>
      </c>
      <c r="D121" s="2">
        <v>1.3469800000000001</v>
      </c>
      <c r="F121" s="5">
        <f t="shared" si="2"/>
        <v>5.0894984984395673E-2</v>
      </c>
      <c r="G121" s="5"/>
      <c r="H121" s="5">
        <f t="shared" si="3"/>
        <v>-3.4885986311309965E-2</v>
      </c>
      <c r="I121" s="5"/>
    </row>
    <row r="122" spans="1:9" ht="15.75" customHeight="1" x14ac:dyDescent="0.3">
      <c r="A122" s="1">
        <v>37998</v>
      </c>
      <c r="B122" s="4">
        <v>312.5</v>
      </c>
      <c r="C122" s="2">
        <v>0.77710000000000001</v>
      </c>
      <c r="D122" s="2">
        <v>1.28684</v>
      </c>
      <c r="F122" s="5">
        <f t="shared" si="2"/>
        <v>5.003093360556498E-2</v>
      </c>
      <c r="G122" s="5"/>
      <c r="H122" s="5">
        <f t="shared" si="3"/>
        <v>-4.5675448746766892E-2</v>
      </c>
      <c r="I122" s="5"/>
    </row>
    <row r="123" spans="1:9" ht="15.75" customHeight="1" x14ac:dyDescent="0.3">
      <c r="A123" s="1">
        <v>38029</v>
      </c>
      <c r="B123" s="4">
        <v>294.25</v>
      </c>
      <c r="C123" s="2">
        <v>0.78854999999999997</v>
      </c>
      <c r="D123" s="2">
        <v>1.2681500000000001</v>
      </c>
      <c r="F123" s="5">
        <f t="shared" si="2"/>
        <v>-6.0174723036070098E-2</v>
      </c>
      <c r="G123" s="5"/>
      <c r="H123" s="5">
        <f t="shared" si="3"/>
        <v>-1.4630455212762263E-2</v>
      </c>
      <c r="I123" s="5"/>
    </row>
    <row r="124" spans="1:9" ht="15.75" customHeight="1" x14ac:dyDescent="0.3">
      <c r="A124" s="1">
        <v>38058</v>
      </c>
      <c r="B124" s="4">
        <v>287.5</v>
      </c>
      <c r="C124" s="2">
        <v>0.72924999999999995</v>
      </c>
      <c r="D124" s="2">
        <v>1.37127</v>
      </c>
      <c r="F124" s="5">
        <f t="shared" si="2"/>
        <v>-2.3206885902981013E-2</v>
      </c>
      <c r="G124" s="5"/>
      <c r="H124" s="5">
        <f t="shared" si="3"/>
        <v>7.8178172184871664E-2</v>
      </c>
      <c r="I124" s="5"/>
    </row>
    <row r="125" spans="1:9" ht="15.75" customHeight="1" x14ac:dyDescent="0.3">
      <c r="A125" s="1">
        <v>38089</v>
      </c>
      <c r="B125" s="4">
        <v>326</v>
      </c>
      <c r="C125" s="2">
        <v>0.76624999999999999</v>
      </c>
      <c r="D125" s="2">
        <v>1.3050600000000001</v>
      </c>
      <c r="F125" s="5">
        <f t="shared" si="2"/>
        <v>0.12567452112930258</v>
      </c>
      <c r="G125" s="5"/>
      <c r="H125" s="5">
        <f t="shared" si="3"/>
        <v>-4.9488301004150942E-2</v>
      </c>
      <c r="I125" s="5"/>
    </row>
    <row r="126" spans="1:9" ht="15.75" customHeight="1" x14ac:dyDescent="0.3">
      <c r="A126" s="1">
        <v>38119</v>
      </c>
      <c r="B126" s="4">
        <v>391.5</v>
      </c>
      <c r="C126" s="2">
        <v>0.69720000000000004</v>
      </c>
      <c r="D126" s="2">
        <v>1.43431</v>
      </c>
      <c r="F126" s="5">
        <f t="shared" si="2"/>
        <v>0.1830881340641502</v>
      </c>
      <c r="G126" s="5"/>
      <c r="H126" s="5">
        <f t="shared" si="3"/>
        <v>9.4434880606596147E-2</v>
      </c>
      <c r="I126" s="5"/>
    </row>
    <row r="127" spans="1:9" ht="15.75" customHeight="1" x14ac:dyDescent="0.3">
      <c r="A127" s="1">
        <v>38150</v>
      </c>
      <c r="B127" s="4">
        <v>350.25</v>
      </c>
      <c r="C127" s="2">
        <v>0.69305000000000005</v>
      </c>
      <c r="D127" s="2">
        <v>1.4429000000000001</v>
      </c>
      <c r="F127" s="5">
        <f t="shared" si="2"/>
        <v>-0.11133833021374141</v>
      </c>
      <c r="G127" s="5"/>
      <c r="H127" s="5">
        <f t="shared" si="3"/>
        <v>5.9710799852361728E-3</v>
      </c>
      <c r="I127" s="5"/>
    </row>
    <row r="128" spans="1:9" ht="15.75" customHeight="1" x14ac:dyDescent="0.3">
      <c r="A128" s="1">
        <v>38180</v>
      </c>
      <c r="B128" s="4">
        <v>380</v>
      </c>
      <c r="C128" s="2">
        <v>0.72770000000000001</v>
      </c>
      <c r="D128" s="2">
        <v>1.37419</v>
      </c>
      <c r="F128" s="5">
        <f t="shared" si="2"/>
        <v>8.1524067503315117E-2</v>
      </c>
      <c r="G128" s="5"/>
      <c r="H128" s="5">
        <f t="shared" si="3"/>
        <v>-4.879051069385279E-2</v>
      </c>
      <c r="I128" s="5"/>
    </row>
    <row r="129" spans="1:9" ht="15.75" customHeight="1" x14ac:dyDescent="0.3">
      <c r="A129" s="1">
        <v>38211</v>
      </c>
      <c r="B129" s="4">
        <v>420.25</v>
      </c>
      <c r="C129" s="2">
        <v>0.71360000000000001</v>
      </c>
      <c r="D129" s="2">
        <v>1.4013500000000001</v>
      </c>
      <c r="F129" s="5">
        <f t="shared" si="2"/>
        <v>0.1006785195682936</v>
      </c>
      <c r="G129" s="5"/>
      <c r="H129" s="5">
        <f t="shared" si="3"/>
        <v>1.9571591083472346E-2</v>
      </c>
      <c r="I129" s="5"/>
    </row>
    <row r="130" spans="1:9" ht="15.75" customHeight="1" x14ac:dyDescent="0.3">
      <c r="A130" s="1">
        <v>38242</v>
      </c>
      <c r="B130" s="4">
        <v>438.5</v>
      </c>
      <c r="C130" s="2">
        <v>0.69879999999999998</v>
      </c>
      <c r="D130" s="2">
        <v>1.43102</v>
      </c>
      <c r="F130" s="5">
        <f t="shared" si="2"/>
        <v>4.2510039523512726E-2</v>
      </c>
      <c r="G130" s="5"/>
      <c r="H130" s="5">
        <f t="shared" si="3"/>
        <v>2.0951419006345767E-2</v>
      </c>
      <c r="I130" s="5"/>
    </row>
    <row r="131" spans="1:9" ht="15.75" customHeight="1" x14ac:dyDescent="0.3">
      <c r="A131" s="1">
        <v>38272</v>
      </c>
      <c r="B131" s="4">
        <v>523</v>
      </c>
      <c r="C131" s="2">
        <v>0.73094999999999999</v>
      </c>
      <c r="D131" s="2">
        <v>1.36808</v>
      </c>
      <c r="F131" s="5">
        <f t="shared" si="2"/>
        <v>0.1762216522526851</v>
      </c>
      <c r="G131" s="5"/>
      <c r="H131" s="5">
        <f t="shared" si="3"/>
        <v>-4.4979179694377112E-2</v>
      </c>
      <c r="I131" s="5"/>
    </row>
    <row r="132" spans="1:9" ht="15.75" customHeight="1" x14ac:dyDescent="0.3">
      <c r="A132" s="1">
        <v>38303</v>
      </c>
      <c r="B132" s="4">
        <v>449</v>
      </c>
      <c r="C132" s="2">
        <v>0.7681</v>
      </c>
      <c r="D132" s="2">
        <v>1.3019099999999999</v>
      </c>
      <c r="F132" s="5">
        <f t="shared" si="2"/>
        <v>-0.15255857632266856</v>
      </c>
      <c r="G132" s="5"/>
      <c r="H132" s="5">
        <f t="shared" si="3"/>
        <v>-4.9575880049450037E-2</v>
      </c>
      <c r="I132" s="5"/>
    </row>
    <row r="133" spans="1:9" ht="15.75" customHeight="1" x14ac:dyDescent="0.3">
      <c r="A133" s="1">
        <v>38333</v>
      </c>
      <c r="B133" s="4">
        <v>411.25</v>
      </c>
      <c r="C133" s="2">
        <v>0.75080000000000002</v>
      </c>
      <c r="D133" s="2">
        <v>1.3319099999999999</v>
      </c>
      <c r="F133" s="5">
        <f t="shared" ref="F133:F196" si="4">LN(B133/B132)</f>
        <v>-8.7821585662672591E-2</v>
      </c>
      <c r="G133" s="5"/>
      <c r="H133" s="5">
        <f t="shared" ref="H133:H196" si="5">LN(D133/D132)</f>
        <v>2.2781585294627722E-2</v>
      </c>
      <c r="I133" s="5"/>
    </row>
    <row r="134" spans="1:9" ht="15.75" customHeight="1" x14ac:dyDescent="0.3">
      <c r="A134" s="1">
        <v>38364</v>
      </c>
      <c r="B134" s="4">
        <v>407.5</v>
      </c>
      <c r="C134" s="2">
        <v>0.76865000000000006</v>
      </c>
      <c r="D134" s="2">
        <v>1.30098</v>
      </c>
      <c r="F134" s="5">
        <f t="shared" si="4"/>
        <v>-9.1603693986642785E-3</v>
      </c>
      <c r="G134" s="5"/>
      <c r="H134" s="5">
        <f t="shared" si="5"/>
        <v>-2.3496175645794534E-2</v>
      </c>
      <c r="I134" s="5"/>
    </row>
    <row r="135" spans="1:9" ht="15.75" customHeight="1" x14ac:dyDescent="0.3">
      <c r="A135" s="1">
        <v>38395</v>
      </c>
      <c r="B135" s="4">
        <v>429.15</v>
      </c>
      <c r="C135" s="2">
        <v>0.78344999999999998</v>
      </c>
      <c r="D135" s="2">
        <v>1.27641</v>
      </c>
      <c r="F135" s="5">
        <f t="shared" si="4"/>
        <v>5.1765575483311607E-2</v>
      </c>
      <c r="G135" s="5"/>
      <c r="H135" s="5">
        <f t="shared" si="5"/>
        <v>-1.9066376696154068E-2</v>
      </c>
      <c r="I135" s="5"/>
    </row>
    <row r="136" spans="1:9" ht="15.75" customHeight="1" x14ac:dyDescent="0.3">
      <c r="A136" s="1">
        <v>38423</v>
      </c>
      <c r="B136" s="4">
        <v>520.4</v>
      </c>
      <c r="C136" s="2">
        <v>0.79369999999999996</v>
      </c>
      <c r="D136" s="2">
        <v>1.2599199999999999</v>
      </c>
      <c r="F136" s="5">
        <f t="shared" si="4"/>
        <v>0.19279123847412122</v>
      </c>
      <c r="G136" s="5"/>
      <c r="H136" s="5">
        <f t="shared" si="5"/>
        <v>-1.3003223041702129E-2</v>
      </c>
      <c r="I136" s="5"/>
    </row>
    <row r="137" spans="1:9" ht="15.75" customHeight="1" x14ac:dyDescent="0.3">
      <c r="A137" s="1">
        <v>38454</v>
      </c>
      <c r="B137" s="4">
        <v>540.38</v>
      </c>
      <c r="C137" s="2">
        <v>0.77315</v>
      </c>
      <c r="D137" s="2">
        <v>1.2934099999999999</v>
      </c>
      <c r="F137" s="5">
        <f t="shared" si="4"/>
        <v>3.7674849140318718E-2</v>
      </c>
      <c r="G137" s="5"/>
      <c r="H137" s="5">
        <f t="shared" si="5"/>
        <v>2.6233914676507757E-2</v>
      </c>
      <c r="I137" s="5"/>
    </row>
    <row r="138" spans="1:9" ht="15.75" customHeight="1" x14ac:dyDescent="0.3">
      <c r="A138" s="1">
        <v>38484</v>
      </c>
      <c r="B138" s="4">
        <v>483.9</v>
      </c>
      <c r="C138" s="2">
        <v>0.76765000000000005</v>
      </c>
      <c r="D138" s="2">
        <v>1.3026800000000001</v>
      </c>
      <c r="F138" s="5">
        <f t="shared" si="4"/>
        <v>-0.11039432197939612</v>
      </c>
      <c r="G138" s="5"/>
      <c r="H138" s="5">
        <f t="shared" si="5"/>
        <v>7.1415393138836722E-3</v>
      </c>
      <c r="I138" s="5"/>
    </row>
    <row r="139" spans="1:9" ht="15.75" customHeight="1" x14ac:dyDescent="0.3">
      <c r="A139" s="1">
        <v>38515</v>
      </c>
      <c r="B139" s="4">
        <v>546</v>
      </c>
      <c r="C139" s="2">
        <v>0.76224999999999998</v>
      </c>
      <c r="D139" s="2">
        <v>1.3119000000000001</v>
      </c>
      <c r="F139" s="5">
        <f t="shared" si="4"/>
        <v>0.12074070194563215</v>
      </c>
      <c r="G139" s="5"/>
      <c r="H139" s="5">
        <f t="shared" si="5"/>
        <v>7.052787230268121E-3</v>
      </c>
      <c r="I139" s="5"/>
    </row>
    <row r="140" spans="1:9" ht="15.75" customHeight="1" x14ac:dyDescent="0.3">
      <c r="A140" s="1">
        <v>38545</v>
      </c>
      <c r="B140" s="4">
        <v>588.29999999999995</v>
      </c>
      <c r="C140" s="2">
        <v>0.75644999999999996</v>
      </c>
      <c r="D140" s="2">
        <v>1.32196</v>
      </c>
      <c r="F140" s="5">
        <f t="shared" si="4"/>
        <v>7.4618046125505197E-2</v>
      </c>
      <c r="G140" s="5"/>
      <c r="H140" s="5">
        <f t="shared" si="5"/>
        <v>7.6390156808072802E-3</v>
      </c>
      <c r="I140" s="5"/>
    </row>
    <row r="141" spans="1:9" ht="15.75" customHeight="1" x14ac:dyDescent="0.3">
      <c r="A141" s="1">
        <v>38576</v>
      </c>
      <c r="B141" s="4">
        <v>651.25</v>
      </c>
      <c r="C141" s="2">
        <v>0.77205000000000001</v>
      </c>
      <c r="D141" s="2">
        <v>1.29525</v>
      </c>
      <c r="F141" s="5">
        <f t="shared" si="4"/>
        <v>0.10165657119716648</v>
      </c>
      <c r="G141" s="5"/>
      <c r="H141" s="5">
        <f t="shared" si="5"/>
        <v>-2.0411757072894363E-2</v>
      </c>
      <c r="I141" s="5"/>
    </row>
    <row r="142" spans="1:9" ht="15.75" customHeight="1" x14ac:dyDescent="0.3">
      <c r="A142" s="1">
        <v>38607</v>
      </c>
      <c r="B142" s="4">
        <v>606.15</v>
      </c>
      <c r="C142" s="2">
        <v>0.77215</v>
      </c>
      <c r="D142" s="2">
        <v>1.29508</v>
      </c>
      <c r="F142" s="5">
        <f t="shared" si="4"/>
        <v>-7.1766112874984314E-2</v>
      </c>
      <c r="G142" s="5"/>
      <c r="H142" s="5">
        <f t="shared" si="5"/>
        <v>-1.3125740754584949E-4</v>
      </c>
      <c r="I142" s="5"/>
    </row>
    <row r="143" spans="1:9" ht="15.75" customHeight="1" x14ac:dyDescent="0.3">
      <c r="A143" s="1">
        <v>38637</v>
      </c>
      <c r="B143" s="4">
        <v>663.95</v>
      </c>
      <c r="C143" s="2">
        <v>0.75465000000000004</v>
      </c>
      <c r="D143" s="2">
        <v>1.3251200000000001</v>
      </c>
      <c r="F143" s="5">
        <f t="shared" si="4"/>
        <v>9.1079365243744187E-2</v>
      </c>
      <c r="G143" s="5"/>
      <c r="H143" s="5">
        <f t="shared" si="5"/>
        <v>2.2930552069850618E-2</v>
      </c>
      <c r="I143" s="5"/>
    </row>
    <row r="144" spans="1:9" ht="15.75" customHeight="1" x14ac:dyDescent="0.3">
      <c r="A144" s="1">
        <v>38668</v>
      </c>
      <c r="B144" s="4">
        <v>532.19000000000005</v>
      </c>
      <c r="C144" s="2">
        <v>0.73255000000000003</v>
      </c>
      <c r="D144" s="2">
        <v>1.3650899999999999</v>
      </c>
      <c r="F144" s="5">
        <f t="shared" si="4"/>
        <v>-0.2212062769978789</v>
      </c>
      <c r="G144" s="5"/>
      <c r="H144" s="5">
        <f t="shared" si="5"/>
        <v>2.9717339154236539E-2</v>
      </c>
      <c r="I144" s="5"/>
    </row>
    <row r="145" spans="1:9" ht="15.75" customHeight="1" x14ac:dyDescent="0.3">
      <c r="A145" s="1">
        <v>38698</v>
      </c>
      <c r="B145" s="4">
        <v>544.65</v>
      </c>
      <c r="C145" s="2">
        <v>0.75485000000000002</v>
      </c>
      <c r="D145" s="2">
        <v>1.32477</v>
      </c>
      <c r="F145" s="5">
        <f t="shared" si="4"/>
        <v>2.3142818089996759E-2</v>
      </c>
      <c r="G145" s="5"/>
      <c r="H145" s="5">
        <f t="shared" si="5"/>
        <v>-2.9981501064380314E-2</v>
      </c>
      <c r="I145" s="5"/>
    </row>
    <row r="146" spans="1:9" ht="15.75" customHeight="1" x14ac:dyDescent="0.3">
      <c r="A146" s="1">
        <v>38729</v>
      </c>
      <c r="B146" s="4">
        <v>570.1</v>
      </c>
      <c r="C146" s="2">
        <v>0.75165000000000004</v>
      </c>
      <c r="D146" s="2">
        <v>1.3304100000000001</v>
      </c>
      <c r="F146" s="5">
        <f t="shared" si="4"/>
        <v>4.5668397509081873E-2</v>
      </c>
      <c r="G146" s="5"/>
      <c r="H146" s="5">
        <f t="shared" si="5"/>
        <v>4.2483059397901797E-3</v>
      </c>
      <c r="I146" s="5"/>
    </row>
    <row r="147" spans="1:9" ht="15.75" customHeight="1" x14ac:dyDescent="0.3">
      <c r="A147" s="1">
        <v>38760</v>
      </c>
      <c r="B147" s="4">
        <v>574.25</v>
      </c>
      <c r="C147" s="2">
        <v>0.73804999999999998</v>
      </c>
      <c r="D147" s="2">
        <v>1.3549199999999999</v>
      </c>
      <c r="F147" s="5">
        <f t="shared" si="4"/>
        <v>7.2530575316715048E-3</v>
      </c>
      <c r="G147" s="5"/>
      <c r="H147" s="5">
        <f t="shared" si="5"/>
        <v>1.8255246593582037E-2</v>
      </c>
      <c r="I147" s="5"/>
    </row>
    <row r="148" spans="1:9" ht="15.75" customHeight="1" x14ac:dyDescent="0.3">
      <c r="A148" s="1">
        <v>38788</v>
      </c>
      <c r="B148" s="4">
        <v>575.1</v>
      </c>
      <c r="C148" s="2">
        <v>0.73065000000000002</v>
      </c>
      <c r="D148" s="2">
        <v>1.3686400000000001</v>
      </c>
      <c r="F148" s="5">
        <f t="shared" si="4"/>
        <v>1.4790971505008325E-3</v>
      </c>
      <c r="G148" s="5"/>
      <c r="H148" s="5">
        <f t="shared" si="5"/>
        <v>1.0075134058112915E-2</v>
      </c>
      <c r="I148" s="5"/>
    </row>
    <row r="149" spans="1:9" ht="15.75" customHeight="1" x14ac:dyDescent="0.3">
      <c r="A149" s="1">
        <v>38819</v>
      </c>
      <c r="B149" s="4">
        <v>656.25</v>
      </c>
      <c r="C149" s="2">
        <v>0.73134999999999994</v>
      </c>
      <c r="D149" s="2">
        <v>1.3673299999999999</v>
      </c>
      <c r="F149" s="5">
        <f t="shared" si="4"/>
        <v>0.13199787518612499</v>
      </c>
      <c r="G149" s="5"/>
      <c r="H149" s="5">
        <f t="shared" si="5"/>
        <v>-9.576129125015274E-4</v>
      </c>
      <c r="I149" s="5"/>
    </row>
    <row r="150" spans="1:9" ht="15.75" customHeight="1" x14ac:dyDescent="0.3">
      <c r="A150" s="1">
        <v>38849</v>
      </c>
      <c r="B150" s="4">
        <v>694.85</v>
      </c>
      <c r="C150" s="2">
        <v>0.77434999999999998</v>
      </c>
      <c r="D150" s="2">
        <v>1.2914099999999999</v>
      </c>
      <c r="F150" s="5">
        <f t="shared" si="4"/>
        <v>5.71541810267574E-2</v>
      </c>
      <c r="G150" s="5"/>
      <c r="H150" s="5">
        <f t="shared" si="5"/>
        <v>-5.7125288429507801E-2</v>
      </c>
      <c r="I150" s="5"/>
    </row>
    <row r="151" spans="1:9" ht="15.75" customHeight="1" x14ac:dyDescent="0.3">
      <c r="A151" s="1">
        <v>38880</v>
      </c>
      <c r="B151" s="4">
        <v>691.3</v>
      </c>
      <c r="C151" s="2">
        <v>0.74734999999999996</v>
      </c>
      <c r="D151" s="2">
        <v>1.33806</v>
      </c>
      <c r="F151" s="5">
        <f t="shared" si="4"/>
        <v>-5.1221119813717872E-3</v>
      </c>
      <c r="G151" s="5"/>
      <c r="H151" s="5">
        <f t="shared" si="5"/>
        <v>3.5486159035547055E-2</v>
      </c>
      <c r="I151" s="5"/>
    </row>
    <row r="152" spans="1:9" ht="15.75" customHeight="1" x14ac:dyDescent="0.3">
      <c r="A152" s="1">
        <v>38910</v>
      </c>
      <c r="B152" s="4">
        <v>687.75</v>
      </c>
      <c r="C152" s="2">
        <v>0.75224999999999997</v>
      </c>
      <c r="D152" s="2">
        <v>1.32934</v>
      </c>
      <c r="F152" s="5">
        <f t="shared" si="4"/>
        <v>-5.1484831465353773E-3</v>
      </c>
      <c r="G152" s="5"/>
      <c r="H152" s="5">
        <f t="shared" si="5"/>
        <v>-6.5382252859023347E-3</v>
      </c>
      <c r="I152" s="5"/>
    </row>
    <row r="153" spans="1:9" ht="15.75" customHeight="1" x14ac:dyDescent="0.3">
      <c r="A153" s="1">
        <v>38941</v>
      </c>
      <c r="B153" s="4">
        <v>715.45</v>
      </c>
      <c r="C153" s="2">
        <v>0.76785000000000003</v>
      </c>
      <c r="D153" s="2">
        <v>1.3023400000000001</v>
      </c>
      <c r="F153" s="5">
        <f t="shared" si="4"/>
        <v>3.9486315548060105E-2</v>
      </c>
      <c r="G153" s="5"/>
      <c r="H153" s="5">
        <f t="shared" si="5"/>
        <v>-2.0519932055171861E-2</v>
      </c>
      <c r="I153" s="5"/>
    </row>
    <row r="154" spans="1:9" ht="15.75" customHeight="1" x14ac:dyDescent="0.3">
      <c r="A154" s="1">
        <v>38972</v>
      </c>
      <c r="B154" s="4">
        <v>627.4</v>
      </c>
      <c r="C154" s="2">
        <v>0.75355000000000005</v>
      </c>
      <c r="D154" s="2">
        <v>1.3270500000000001</v>
      </c>
      <c r="F154" s="5">
        <f t="shared" si="4"/>
        <v>-0.13132741959616637</v>
      </c>
      <c r="G154" s="5"/>
      <c r="H154" s="5">
        <f t="shared" si="5"/>
        <v>1.8795787206497269E-2</v>
      </c>
      <c r="I154" s="5"/>
    </row>
    <row r="155" spans="1:9" ht="15.75" customHeight="1" x14ac:dyDescent="0.3">
      <c r="A155" s="1">
        <v>39002</v>
      </c>
      <c r="B155" s="4">
        <v>588</v>
      </c>
      <c r="C155" s="2">
        <v>0.75</v>
      </c>
      <c r="D155" s="2">
        <v>1.3333299999999999</v>
      </c>
      <c r="F155" s="5">
        <f t="shared" si="4"/>
        <v>-6.4857347857950776E-2</v>
      </c>
      <c r="G155" s="5"/>
      <c r="H155" s="5">
        <f t="shared" si="5"/>
        <v>4.7211388332882845E-3</v>
      </c>
      <c r="I155" s="5"/>
    </row>
    <row r="156" spans="1:9" ht="15.75" customHeight="1" x14ac:dyDescent="0.3">
      <c r="A156" s="1">
        <v>39033</v>
      </c>
      <c r="B156" s="4">
        <v>568</v>
      </c>
      <c r="C156" s="2">
        <v>0.76675000000000004</v>
      </c>
      <c r="D156" s="2">
        <v>1.3042100000000001</v>
      </c>
      <c r="F156" s="5">
        <f t="shared" si="4"/>
        <v>-3.4605529177475607E-2</v>
      </c>
      <c r="G156" s="5"/>
      <c r="H156" s="5">
        <f t="shared" si="5"/>
        <v>-2.2082078965432309E-2</v>
      </c>
      <c r="I156" s="5"/>
    </row>
    <row r="157" spans="1:9" ht="15.75" customHeight="1" x14ac:dyDescent="0.3">
      <c r="A157" s="1">
        <v>39063</v>
      </c>
      <c r="B157" s="4">
        <v>607.35</v>
      </c>
      <c r="C157" s="2">
        <v>0.78505000000000003</v>
      </c>
      <c r="D157" s="2">
        <v>1.2738</v>
      </c>
      <c r="F157" s="5">
        <f t="shared" si="4"/>
        <v>6.6983812425128422E-2</v>
      </c>
      <c r="G157" s="5"/>
      <c r="H157" s="5">
        <f t="shared" si="5"/>
        <v>-2.3592934528095157E-2</v>
      </c>
      <c r="I157" s="5"/>
    </row>
    <row r="158" spans="1:9" ht="15.75" customHeight="1" x14ac:dyDescent="0.3">
      <c r="A158" s="1">
        <v>39094</v>
      </c>
      <c r="B158" s="4">
        <v>527.75</v>
      </c>
      <c r="C158" s="2">
        <v>0.78244999999999998</v>
      </c>
      <c r="D158" s="2">
        <v>1.2780400000000001</v>
      </c>
      <c r="F158" s="5">
        <f t="shared" si="4"/>
        <v>-0.14048254441784983</v>
      </c>
      <c r="G158" s="5"/>
      <c r="H158" s="5">
        <f t="shared" si="5"/>
        <v>3.3230954149526429E-3</v>
      </c>
      <c r="I158" s="5"/>
    </row>
    <row r="159" spans="1:9" ht="15.75" customHeight="1" x14ac:dyDescent="0.3">
      <c r="A159" s="1">
        <v>39125</v>
      </c>
      <c r="B159" s="4">
        <v>556.6</v>
      </c>
      <c r="C159" s="2">
        <v>0.77224999999999999</v>
      </c>
      <c r="D159" s="2">
        <v>1.2949200000000001</v>
      </c>
      <c r="F159" s="5">
        <f t="shared" si="4"/>
        <v>5.3224162363360396E-2</v>
      </c>
      <c r="G159" s="5"/>
      <c r="H159" s="5">
        <f t="shared" si="5"/>
        <v>1.3121262811424526E-2</v>
      </c>
      <c r="I159" s="5"/>
    </row>
    <row r="160" spans="1:9" ht="15.75" customHeight="1" x14ac:dyDescent="0.3">
      <c r="A160" s="1">
        <v>39153</v>
      </c>
      <c r="B160" s="4">
        <v>575.75</v>
      </c>
      <c r="C160" s="2">
        <v>0.78364999999999996</v>
      </c>
      <c r="D160" s="2">
        <v>1.2760800000000001</v>
      </c>
      <c r="F160" s="5">
        <f t="shared" si="4"/>
        <v>3.3826689609004187E-2</v>
      </c>
      <c r="G160" s="5"/>
      <c r="H160" s="5">
        <f t="shared" si="5"/>
        <v>-1.4656038299449765E-2</v>
      </c>
      <c r="I160" s="5"/>
    </row>
    <row r="161" spans="1:9" ht="15.75" customHeight="1" x14ac:dyDescent="0.3">
      <c r="A161" s="1">
        <v>39184</v>
      </c>
      <c r="B161" s="4">
        <v>639.4</v>
      </c>
      <c r="C161" s="2">
        <v>0.82755000000000001</v>
      </c>
      <c r="D161" s="2">
        <v>1.2083900000000001</v>
      </c>
      <c r="F161" s="5">
        <f t="shared" si="4"/>
        <v>0.10485669792494641</v>
      </c>
      <c r="G161" s="5"/>
      <c r="H161" s="5">
        <f t="shared" si="5"/>
        <v>-5.4503983791412039E-2</v>
      </c>
      <c r="I161" s="5"/>
    </row>
    <row r="162" spans="1:9" ht="15.75" customHeight="1" x14ac:dyDescent="0.3">
      <c r="A162" s="1">
        <v>39214</v>
      </c>
      <c r="B162" s="4">
        <v>645.1</v>
      </c>
      <c r="C162" s="2">
        <v>0.83174999999999999</v>
      </c>
      <c r="D162" s="2">
        <v>1.20228</v>
      </c>
      <c r="F162" s="5">
        <f t="shared" si="4"/>
        <v>8.8751069124549647E-3</v>
      </c>
      <c r="G162" s="5"/>
      <c r="H162" s="5">
        <f t="shared" si="5"/>
        <v>-5.0691410136088008E-3</v>
      </c>
      <c r="I162" s="5"/>
    </row>
    <row r="163" spans="1:9" ht="15.75" customHeight="1" x14ac:dyDescent="0.3">
      <c r="A163" s="1">
        <v>39245</v>
      </c>
      <c r="B163" s="4">
        <v>651.04999999999995</v>
      </c>
      <c r="C163" s="2">
        <v>0.84194999999999998</v>
      </c>
      <c r="D163" s="2">
        <v>1.1877200000000001</v>
      </c>
      <c r="F163" s="5">
        <f t="shared" si="4"/>
        <v>9.1811006365411351E-3</v>
      </c>
      <c r="G163" s="5"/>
      <c r="H163" s="5">
        <f t="shared" si="5"/>
        <v>-1.2184251151580457E-2</v>
      </c>
      <c r="I163" s="5"/>
    </row>
    <row r="164" spans="1:9" ht="15.75" customHeight="1" x14ac:dyDescent="0.3">
      <c r="A164" s="1">
        <v>39275</v>
      </c>
      <c r="B164" s="4">
        <v>716.45</v>
      </c>
      <c r="C164" s="2">
        <v>0.86414999999999997</v>
      </c>
      <c r="D164" s="2">
        <v>1.1572100000000001</v>
      </c>
      <c r="F164" s="5">
        <f t="shared" si="4"/>
        <v>9.5722016987874622E-2</v>
      </c>
      <c r="G164" s="5"/>
      <c r="H164" s="5">
        <f t="shared" si="5"/>
        <v>-2.6023567294383935E-2</v>
      </c>
      <c r="I164" s="5"/>
    </row>
    <row r="165" spans="1:9" ht="15.75" customHeight="1" x14ac:dyDescent="0.3">
      <c r="A165" s="1">
        <v>39306</v>
      </c>
      <c r="B165" s="4">
        <v>668.3</v>
      </c>
      <c r="C165" s="2">
        <v>0.84389999999999998</v>
      </c>
      <c r="D165" s="2">
        <v>1.1849700000000001</v>
      </c>
      <c r="F165" s="5">
        <f t="shared" si="4"/>
        <v>-6.957128664558751E-2</v>
      </c>
      <c r="G165" s="5"/>
      <c r="H165" s="5">
        <f t="shared" si="5"/>
        <v>2.3705522179861008E-2</v>
      </c>
      <c r="I165" s="5"/>
    </row>
    <row r="166" spans="1:9" ht="15.75" customHeight="1" x14ac:dyDescent="0.3">
      <c r="A166" s="1">
        <v>39337</v>
      </c>
      <c r="B166" s="4">
        <v>733.45</v>
      </c>
      <c r="C166" s="2">
        <v>0.83875</v>
      </c>
      <c r="D166" s="2">
        <v>1.19225</v>
      </c>
      <c r="F166" s="5">
        <f t="shared" si="4"/>
        <v>9.3022254416747496E-2</v>
      </c>
      <c r="G166" s="5"/>
      <c r="H166" s="5">
        <f t="shared" si="5"/>
        <v>6.1248203852652316E-3</v>
      </c>
      <c r="I166" s="5"/>
    </row>
    <row r="167" spans="1:9" ht="15.75" customHeight="1" x14ac:dyDescent="0.3">
      <c r="A167" s="1">
        <v>39367</v>
      </c>
      <c r="B167" s="4">
        <v>771.05</v>
      </c>
      <c r="C167" s="2">
        <v>0.90354999999999996</v>
      </c>
      <c r="D167" s="2">
        <v>1.1067400000000001</v>
      </c>
      <c r="F167" s="5">
        <f t="shared" si="4"/>
        <v>4.9993793369893534E-2</v>
      </c>
      <c r="G167" s="5"/>
      <c r="H167" s="5">
        <f t="shared" si="5"/>
        <v>-7.4423521071100299E-2</v>
      </c>
      <c r="I167" s="5"/>
    </row>
    <row r="168" spans="1:9" ht="15.75" customHeight="1" x14ac:dyDescent="0.3">
      <c r="A168" s="1">
        <v>39398</v>
      </c>
      <c r="B168" s="4">
        <v>893.6</v>
      </c>
      <c r="C168" s="2">
        <v>0.87924999999999998</v>
      </c>
      <c r="D168" s="2">
        <v>1.13733</v>
      </c>
      <c r="F168" s="5">
        <f t="shared" si="4"/>
        <v>0.14750502545132563</v>
      </c>
      <c r="G168" s="5"/>
      <c r="H168" s="5">
        <f t="shared" si="5"/>
        <v>2.7264652999575315E-2</v>
      </c>
      <c r="I168" s="5"/>
    </row>
    <row r="169" spans="1:9" ht="15.75" customHeight="1" x14ac:dyDescent="0.3">
      <c r="A169" s="1">
        <v>39428</v>
      </c>
      <c r="B169" s="4">
        <v>865.85</v>
      </c>
      <c r="C169" s="2">
        <v>0.88524999999999998</v>
      </c>
      <c r="D169" s="2">
        <v>1.1296200000000001</v>
      </c>
      <c r="F169" s="5">
        <f t="shared" si="4"/>
        <v>-3.1546564356831133E-2</v>
      </c>
      <c r="G169" s="5"/>
      <c r="H169" s="5">
        <f t="shared" si="5"/>
        <v>-6.8021171421332131E-3</v>
      </c>
      <c r="I169" s="5"/>
    </row>
    <row r="170" spans="1:9" ht="15.75" customHeight="1" x14ac:dyDescent="0.3">
      <c r="A170" s="1">
        <v>39459</v>
      </c>
      <c r="B170" s="4">
        <v>842.65</v>
      </c>
      <c r="C170" s="2">
        <v>0.89370000000000005</v>
      </c>
      <c r="D170" s="2">
        <v>1.11894</v>
      </c>
      <c r="F170" s="5">
        <f t="shared" si="4"/>
        <v>-2.7159995476130992E-2</v>
      </c>
      <c r="G170" s="5"/>
      <c r="H170" s="5">
        <f t="shared" si="5"/>
        <v>-9.4994843932655459E-3</v>
      </c>
      <c r="I170" s="5"/>
    </row>
    <row r="171" spans="1:9" ht="15.75" customHeight="1" x14ac:dyDescent="0.3">
      <c r="A171" s="1">
        <v>39490</v>
      </c>
      <c r="B171" s="4">
        <v>897.47</v>
      </c>
      <c r="C171" s="2">
        <v>0.90725</v>
      </c>
      <c r="D171" s="2">
        <v>1.10223</v>
      </c>
      <c r="F171" s="5">
        <f t="shared" si="4"/>
        <v>6.3028005697893769E-2</v>
      </c>
      <c r="G171" s="5"/>
      <c r="H171" s="5">
        <f t="shared" si="5"/>
        <v>-1.5046408201994646E-2</v>
      </c>
      <c r="I171" s="5"/>
    </row>
    <row r="172" spans="1:9" ht="15.75" customHeight="1" x14ac:dyDescent="0.3">
      <c r="A172" s="1">
        <v>39519</v>
      </c>
      <c r="B172" s="4">
        <v>1053.7</v>
      </c>
      <c r="C172" s="2">
        <v>0.93225000000000002</v>
      </c>
      <c r="D172" s="2">
        <v>1.07267</v>
      </c>
      <c r="F172" s="5">
        <f t="shared" si="4"/>
        <v>0.16048336498555935</v>
      </c>
      <c r="G172" s="5"/>
      <c r="H172" s="5">
        <f t="shared" si="5"/>
        <v>-2.7184532969825995E-2</v>
      </c>
      <c r="I172" s="5"/>
    </row>
    <row r="173" spans="1:9" ht="15.75" customHeight="1" x14ac:dyDescent="0.3">
      <c r="A173" s="1">
        <v>39550</v>
      </c>
      <c r="B173" s="4">
        <v>1152</v>
      </c>
      <c r="C173" s="2">
        <v>0.93030000000000002</v>
      </c>
      <c r="D173" s="2">
        <v>1.0749200000000001</v>
      </c>
      <c r="F173" s="5">
        <f t="shared" si="4"/>
        <v>8.919178265035467E-2</v>
      </c>
      <c r="G173" s="5"/>
      <c r="H173" s="5">
        <f t="shared" si="5"/>
        <v>2.095372788321009E-3</v>
      </c>
      <c r="I173" s="5"/>
    </row>
    <row r="174" spans="1:9" ht="15.75" customHeight="1" x14ac:dyDescent="0.3">
      <c r="A174" s="1">
        <v>39580</v>
      </c>
      <c r="B174" s="4">
        <v>1261.9000000000001</v>
      </c>
      <c r="C174" s="2">
        <v>0.94510000000000005</v>
      </c>
      <c r="D174" s="2">
        <v>1.05809</v>
      </c>
      <c r="F174" s="5">
        <f t="shared" si="4"/>
        <v>9.111895940302836E-2</v>
      </c>
      <c r="G174" s="5"/>
      <c r="H174" s="5">
        <f t="shared" si="5"/>
        <v>-1.5780844225015654E-2</v>
      </c>
      <c r="I174" s="5"/>
    </row>
    <row r="175" spans="1:9" ht="15.75" customHeight="1" x14ac:dyDescent="0.3">
      <c r="A175" s="1">
        <v>39611</v>
      </c>
      <c r="B175" s="4">
        <v>1291.5999999999999</v>
      </c>
      <c r="C175" s="2">
        <v>0.93284999999999996</v>
      </c>
      <c r="D175" s="2">
        <v>1.0719799999999999</v>
      </c>
      <c r="F175" s="5">
        <f t="shared" si="4"/>
        <v>2.3263238225255022E-2</v>
      </c>
      <c r="G175" s="5"/>
      <c r="H175" s="5">
        <f t="shared" si="5"/>
        <v>1.3042009777395943E-2</v>
      </c>
      <c r="I175" s="5"/>
    </row>
    <row r="176" spans="1:9" ht="15.75" customHeight="1" x14ac:dyDescent="0.3">
      <c r="A176" s="1">
        <v>39641</v>
      </c>
      <c r="B176" s="4">
        <v>1432.65</v>
      </c>
      <c r="C176" s="2">
        <v>0.96825000000000006</v>
      </c>
      <c r="D176" s="2">
        <v>1.0327900000000001</v>
      </c>
      <c r="F176" s="5">
        <f t="shared" si="4"/>
        <v>0.10364411626473616</v>
      </c>
      <c r="G176" s="5"/>
      <c r="H176" s="5">
        <f t="shared" si="5"/>
        <v>-3.7243527671463918E-2</v>
      </c>
      <c r="I176" s="5"/>
    </row>
    <row r="177" spans="1:9" ht="15.75" customHeight="1" x14ac:dyDescent="0.3">
      <c r="A177" s="1">
        <v>39672</v>
      </c>
      <c r="B177" s="4">
        <v>1088.8499999999999</v>
      </c>
      <c r="C177" s="2">
        <v>0.87614999999999998</v>
      </c>
      <c r="D177" s="2">
        <v>1.1413599999999999</v>
      </c>
      <c r="F177" s="5">
        <f t="shared" si="4"/>
        <v>-0.27440378274989707</v>
      </c>
      <c r="G177" s="5"/>
      <c r="H177" s="5">
        <f t="shared" si="5"/>
        <v>9.9956655737732131E-2</v>
      </c>
      <c r="I177" s="5"/>
    </row>
    <row r="178" spans="1:9" ht="15.75" customHeight="1" x14ac:dyDescent="0.3">
      <c r="A178" s="1">
        <v>39703</v>
      </c>
      <c r="B178" s="4">
        <v>1019.2</v>
      </c>
      <c r="C178" s="2">
        <v>0.81735000000000002</v>
      </c>
      <c r="D178" s="2">
        <v>1.2234700000000001</v>
      </c>
      <c r="F178" s="5">
        <f t="shared" si="4"/>
        <v>-6.6104087581060317E-2</v>
      </c>
      <c r="G178" s="5"/>
      <c r="H178" s="5">
        <f t="shared" si="5"/>
        <v>6.9470549955363795E-2</v>
      </c>
      <c r="I178" s="5"/>
    </row>
    <row r="179" spans="1:9" ht="15.75" customHeight="1" x14ac:dyDescent="0.3">
      <c r="A179" s="1">
        <v>39733</v>
      </c>
      <c r="B179" s="4">
        <v>760.95</v>
      </c>
      <c r="C179" s="2">
        <v>0.65269999999999995</v>
      </c>
      <c r="D179" s="2">
        <v>1.5321</v>
      </c>
      <c r="F179" s="5">
        <f t="shared" si="4"/>
        <v>-0.29220563213709017</v>
      </c>
      <c r="G179" s="5"/>
      <c r="H179" s="5">
        <f t="shared" si="5"/>
        <v>0.22494825955978526</v>
      </c>
      <c r="I179" s="5"/>
    </row>
    <row r="180" spans="1:9" ht="15.75" customHeight="1" x14ac:dyDescent="0.3">
      <c r="A180" s="1">
        <v>39764</v>
      </c>
      <c r="B180" s="4">
        <v>620.65</v>
      </c>
      <c r="C180" s="2">
        <v>0.64410000000000001</v>
      </c>
      <c r="D180" s="2">
        <v>1.5525500000000001</v>
      </c>
      <c r="F180" s="5">
        <f t="shared" si="4"/>
        <v>-0.20380033671885192</v>
      </c>
      <c r="G180" s="5"/>
      <c r="H180" s="5">
        <f t="shared" si="5"/>
        <v>1.3259397086482666E-2</v>
      </c>
      <c r="I180" s="5"/>
    </row>
    <row r="181" spans="1:9" ht="15.75" customHeight="1" x14ac:dyDescent="0.3">
      <c r="A181" s="1">
        <v>39794</v>
      </c>
      <c r="B181" s="4">
        <v>470.2</v>
      </c>
      <c r="C181" s="2">
        <v>0.66159999999999997</v>
      </c>
      <c r="D181" s="2">
        <v>1.51149</v>
      </c>
      <c r="F181" s="5">
        <f t="shared" si="4"/>
        <v>-0.27760917985598765</v>
      </c>
      <c r="G181" s="5"/>
      <c r="H181" s="5">
        <f t="shared" si="5"/>
        <v>-2.6802821154989404E-2</v>
      </c>
      <c r="I181" s="5"/>
    </row>
    <row r="182" spans="1:9" ht="15.75" customHeight="1" x14ac:dyDescent="0.3">
      <c r="A182" s="1">
        <v>39825</v>
      </c>
      <c r="B182" s="4">
        <v>490.95</v>
      </c>
      <c r="C182" s="2">
        <v>0.68459999999999999</v>
      </c>
      <c r="D182" s="2">
        <v>1.46071</v>
      </c>
      <c r="F182" s="5">
        <f t="shared" si="4"/>
        <v>4.3184153509329984E-2</v>
      </c>
      <c r="G182" s="5"/>
      <c r="H182" s="5">
        <f t="shared" si="5"/>
        <v>-3.4173300387146228E-2</v>
      </c>
      <c r="I182" s="5"/>
    </row>
    <row r="183" spans="1:9" ht="15.75" customHeight="1" x14ac:dyDescent="0.3">
      <c r="A183" s="1">
        <v>39856</v>
      </c>
      <c r="B183" s="4">
        <v>431.65</v>
      </c>
      <c r="C183" s="2">
        <v>0.64815</v>
      </c>
      <c r="D183" s="2">
        <v>1.5428500000000001</v>
      </c>
      <c r="F183" s="5">
        <f t="shared" si="4"/>
        <v>-0.12872721493376751</v>
      </c>
      <c r="G183" s="5"/>
      <c r="H183" s="5">
        <f t="shared" si="5"/>
        <v>5.4708736550596382E-2</v>
      </c>
      <c r="I183" s="5"/>
    </row>
    <row r="184" spans="1:9" ht="15.75" customHeight="1" x14ac:dyDescent="0.3">
      <c r="A184" s="1">
        <v>39884</v>
      </c>
      <c r="B184" s="4">
        <v>375.7</v>
      </c>
      <c r="C184" s="2">
        <v>0.6472</v>
      </c>
      <c r="D184" s="2">
        <v>1.54512</v>
      </c>
      <c r="F184" s="5">
        <f t="shared" si="4"/>
        <v>-0.13882412210160838</v>
      </c>
      <c r="G184" s="5"/>
      <c r="H184" s="5">
        <f t="shared" si="5"/>
        <v>1.4702218019563987E-3</v>
      </c>
      <c r="I184" s="5"/>
    </row>
    <row r="185" spans="1:9" ht="15.75" customHeight="1" x14ac:dyDescent="0.3">
      <c r="A185" s="1">
        <v>39915</v>
      </c>
      <c r="B185" s="4">
        <v>471.8</v>
      </c>
      <c r="C185" s="2">
        <v>0.71709999999999996</v>
      </c>
      <c r="D185" s="2">
        <v>1.3945099999999999</v>
      </c>
      <c r="F185" s="5">
        <f t="shared" si="4"/>
        <v>0.22776421439365152</v>
      </c>
      <c r="G185" s="5"/>
      <c r="H185" s="5">
        <f t="shared" si="5"/>
        <v>-0.10255847814773322</v>
      </c>
      <c r="I185" s="5"/>
    </row>
    <row r="186" spans="1:9" ht="15.75" customHeight="1" x14ac:dyDescent="0.3">
      <c r="A186" s="1">
        <v>39945</v>
      </c>
      <c r="B186" s="4">
        <v>503.25</v>
      </c>
      <c r="C186" s="2">
        <v>0.76515</v>
      </c>
      <c r="D186" s="2">
        <v>1.3069299999999999</v>
      </c>
      <c r="F186" s="5">
        <f t="shared" si="4"/>
        <v>6.4531897546326156E-2</v>
      </c>
      <c r="G186" s="5"/>
      <c r="H186" s="5">
        <f t="shared" si="5"/>
        <v>-6.4862223646797001E-2</v>
      </c>
      <c r="I186" s="5"/>
    </row>
    <row r="187" spans="1:9" ht="15.75" customHeight="1" x14ac:dyDescent="0.3">
      <c r="A187" s="1">
        <v>39976</v>
      </c>
      <c r="B187" s="4">
        <v>616.70000000000005</v>
      </c>
      <c r="C187" s="2">
        <v>0.81189999999999996</v>
      </c>
      <c r="D187" s="2">
        <v>1.2316800000000001</v>
      </c>
      <c r="F187" s="5">
        <f t="shared" si="4"/>
        <v>0.2032956174775464</v>
      </c>
      <c r="G187" s="5"/>
      <c r="H187" s="5">
        <f t="shared" si="5"/>
        <v>-5.9301784328696129E-2</v>
      </c>
      <c r="I187" s="5"/>
    </row>
    <row r="188" spans="1:9" ht="15.75" customHeight="1" x14ac:dyDescent="0.3">
      <c r="A188" s="1">
        <v>40006</v>
      </c>
      <c r="B188" s="4">
        <v>520.6</v>
      </c>
      <c r="C188" s="2">
        <v>0.77690000000000003</v>
      </c>
      <c r="D188" s="2">
        <v>1.2871699999999999</v>
      </c>
      <c r="F188" s="5">
        <f t="shared" si="4"/>
        <v>-0.16940068943698217</v>
      </c>
      <c r="G188" s="5"/>
      <c r="H188" s="5">
        <f t="shared" si="5"/>
        <v>4.4066918909701915E-2</v>
      </c>
      <c r="I188" s="5"/>
    </row>
    <row r="189" spans="1:9" ht="15.75" customHeight="1" x14ac:dyDescent="0.3">
      <c r="A189" s="1">
        <v>40037</v>
      </c>
      <c r="B189" s="4">
        <v>623.15</v>
      </c>
      <c r="C189" s="2">
        <v>0.83104999999999996</v>
      </c>
      <c r="D189" s="2">
        <v>1.2033</v>
      </c>
      <c r="F189" s="5">
        <f t="shared" si="4"/>
        <v>0.17980526771192071</v>
      </c>
      <c r="G189" s="5"/>
      <c r="H189" s="5">
        <f t="shared" si="5"/>
        <v>-6.7378227560966425E-2</v>
      </c>
      <c r="I189" s="5"/>
    </row>
    <row r="190" spans="1:9" ht="15.75" customHeight="1" x14ac:dyDescent="0.3">
      <c r="A190" s="1">
        <v>40068</v>
      </c>
      <c r="B190" s="4">
        <v>598.65</v>
      </c>
      <c r="C190" s="2">
        <v>0.86609999999999998</v>
      </c>
      <c r="D190" s="2">
        <v>1.1546000000000001</v>
      </c>
      <c r="F190" s="5">
        <f t="shared" si="4"/>
        <v>-4.0110140109533308E-2</v>
      </c>
      <c r="G190" s="5"/>
      <c r="H190" s="5">
        <f t="shared" si="5"/>
        <v>-4.1313818817283583E-2</v>
      </c>
      <c r="I190" s="5"/>
    </row>
    <row r="191" spans="1:9" ht="15.75" customHeight="1" x14ac:dyDescent="0.3">
      <c r="A191" s="1">
        <v>40098</v>
      </c>
      <c r="B191" s="4">
        <v>626.35</v>
      </c>
      <c r="C191" s="2">
        <v>0.90734999999999999</v>
      </c>
      <c r="D191" s="2">
        <v>1.1021099999999999</v>
      </c>
      <c r="F191" s="5">
        <f t="shared" si="4"/>
        <v>4.5232200127348472E-2</v>
      </c>
      <c r="G191" s="5"/>
      <c r="H191" s="5">
        <f t="shared" si="5"/>
        <v>-4.6527439383712912E-2</v>
      </c>
      <c r="I191" s="5"/>
    </row>
    <row r="192" spans="1:9" ht="15.75" customHeight="1" x14ac:dyDescent="0.3">
      <c r="A192" s="1">
        <v>40129</v>
      </c>
      <c r="B192" s="4">
        <v>649</v>
      </c>
      <c r="C192" s="2">
        <v>0.92805000000000004</v>
      </c>
      <c r="D192" s="2">
        <v>1.0775300000000001</v>
      </c>
      <c r="F192" s="5">
        <f t="shared" si="4"/>
        <v>3.5523396413889019E-2</v>
      </c>
      <c r="G192" s="5"/>
      <c r="H192" s="5">
        <f t="shared" si="5"/>
        <v>-2.2555139425426807E-2</v>
      </c>
      <c r="I192" s="5"/>
    </row>
    <row r="193" spans="1:9" ht="15.75" customHeight="1" x14ac:dyDescent="0.3">
      <c r="A193" s="1">
        <v>40159</v>
      </c>
      <c r="B193" s="4">
        <v>625.1</v>
      </c>
      <c r="C193" s="2">
        <v>0.91154999999999997</v>
      </c>
      <c r="D193" s="2">
        <v>1.0970299999999999</v>
      </c>
      <c r="F193" s="5">
        <f t="shared" si="4"/>
        <v>-3.7521079766323261E-2</v>
      </c>
      <c r="G193" s="5"/>
      <c r="H193" s="5">
        <f t="shared" si="5"/>
        <v>1.7935143394453634E-2</v>
      </c>
      <c r="I193" s="5"/>
    </row>
    <row r="194" spans="1:9" ht="15.75" customHeight="1" x14ac:dyDescent="0.3">
      <c r="A194" s="1">
        <v>40190</v>
      </c>
      <c r="B194" s="4">
        <v>687.35</v>
      </c>
      <c r="C194" s="2">
        <v>0.92554999999999998</v>
      </c>
      <c r="D194" s="2">
        <v>1.0804400000000001</v>
      </c>
      <c r="F194" s="5">
        <f t="shared" si="4"/>
        <v>9.4931986979662389E-2</v>
      </c>
      <c r="G194" s="5"/>
      <c r="H194" s="5">
        <f t="shared" si="5"/>
        <v>-1.5238162654338291E-2</v>
      </c>
      <c r="I194" s="5"/>
    </row>
    <row r="195" spans="1:9" ht="15.75" customHeight="1" x14ac:dyDescent="0.3">
      <c r="A195" s="1">
        <v>40221</v>
      </c>
      <c r="B195" s="4">
        <v>615.45000000000005</v>
      </c>
      <c r="C195" s="2">
        <v>0.88185000000000002</v>
      </c>
      <c r="D195" s="2">
        <v>1.13398</v>
      </c>
      <c r="F195" s="5">
        <f t="shared" si="4"/>
        <v>-0.11048991636112415</v>
      </c>
      <c r="G195" s="5"/>
      <c r="H195" s="5">
        <f t="shared" si="5"/>
        <v>4.8365202890057163E-2</v>
      </c>
      <c r="I195" s="5"/>
    </row>
    <row r="196" spans="1:9" ht="15.75" customHeight="1" x14ac:dyDescent="0.3">
      <c r="A196" s="1">
        <v>40249</v>
      </c>
      <c r="B196" s="4">
        <v>696.2</v>
      </c>
      <c r="C196" s="2">
        <v>0.91625000000000001</v>
      </c>
      <c r="D196" s="2">
        <v>1.0913999999999999</v>
      </c>
      <c r="F196" s="5">
        <f t="shared" si="4"/>
        <v>0.12328326782103367</v>
      </c>
      <c r="G196" s="5"/>
      <c r="H196" s="5">
        <f t="shared" si="5"/>
        <v>-3.8272292695734345E-2</v>
      </c>
      <c r="I196" s="5"/>
    </row>
    <row r="197" spans="1:9" ht="15.75" customHeight="1" x14ac:dyDescent="0.3">
      <c r="A197" s="1">
        <v>40280</v>
      </c>
      <c r="B197" s="4">
        <v>741.65</v>
      </c>
      <c r="C197" s="2">
        <v>0.92905000000000004</v>
      </c>
      <c r="D197" s="2">
        <v>1.07637</v>
      </c>
      <c r="F197" s="5">
        <f t="shared" ref="F197:F260" si="6">LN(B197/B196)</f>
        <v>6.324045839228272E-2</v>
      </c>
      <c r="G197" s="5"/>
      <c r="H197" s="5">
        <f t="shared" ref="H197:H260" si="7">LN(D197/D196)</f>
        <v>-1.3867006967819975E-2</v>
      </c>
      <c r="I197" s="5"/>
    </row>
    <row r="198" spans="1:9" ht="15.75" customHeight="1" x14ac:dyDescent="0.3">
      <c r="A198" s="1">
        <v>40310</v>
      </c>
      <c r="B198" s="4">
        <v>712.65</v>
      </c>
      <c r="C198" s="2">
        <v>0.89454999999999996</v>
      </c>
      <c r="D198" s="2">
        <v>1.11788</v>
      </c>
      <c r="F198" s="5">
        <f t="shared" si="6"/>
        <v>-3.9887017468581316E-2</v>
      </c>
      <c r="G198" s="5"/>
      <c r="H198" s="5">
        <f t="shared" si="7"/>
        <v>3.7839765644031249E-2</v>
      </c>
      <c r="I198" s="5"/>
    </row>
    <row r="199" spans="1:9" ht="15.75" customHeight="1" x14ac:dyDescent="0.3">
      <c r="A199" s="1">
        <v>40341</v>
      </c>
      <c r="B199" s="4">
        <v>678.15</v>
      </c>
      <c r="C199" s="2">
        <v>0.84914999999999996</v>
      </c>
      <c r="D199" s="2">
        <v>1.1776500000000001</v>
      </c>
      <c r="F199" s="5">
        <f t="shared" si="6"/>
        <v>-4.9621913892316134E-2</v>
      </c>
      <c r="G199" s="5"/>
      <c r="H199" s="5">
        <f t="shared" si="7"/>
        <v>5.2086892884031483E-2</v>
      </c>
      <c r="I199" s="5"/>
    </row>
    <row r="200" spans="1:9" ht="15.75" customHeight="1" x14ac:dyDescent="0.3">
      <c r="A200" s="1">
        <v>40371</v>
      </c>
      <c r="B200" s="4">
        <v>662.65</v>
      </c>
      <c r="C200" s="2">
        <v>0.87404999999999999</v>
      </c>
      <c r="D200" s="2">
        <v>1.1440999999999999</v>
      </c>
      <c r="F200" s="5">
        <f t="shared" si="6"/>
        <v>-2.3121555082036113E-2</v>
      </c>
      <c r="G200" s="5"/>
      <c r="H200" s="5">
        <f t="shared" si="7"/>
        <v>-2.8902625605476212E-2</v>
      </c>
      <c r="I200" s="5"/>
    </row>
    <row r="201" spans="1:9" ht="15.75" customHeight="1" x14ac:dyDescent="0.3">
      <c r="A201" s="1">
        <v>40402</v>
      </c>
      <c r="B201" s="4">
        <v>678.45</v>
      </c>
      <c r="C201" s="2">
        <v>0.89534999999999998</v>
      </c>
      <c r="D201" s="2">
        <v>1.1168800000000001</v>
      </c>
      <c r="F201" s="5">
        <f t="shared" si="6"/>
        <v>2.356383726527423E-2</v>
      </c>
      <c r="G201" s="5"/>
      <c r="H201" s="5">
        <f t="shared" si="7"/>
        <v>-2.4079218026505488E-2</v>
      </c>
      <c r="I201" s="5"/>
    </row>
    <row r="202" spans="1:9" ht="15.75" customHeight="1" x14ac:dyDescent="0.3">
      <c r="A202" s="1">
        <v>40433</v>
      </c>
      <c r="B202" s="4">
        <v>697.8</v>
      </c>
      <c r="C202" s="2">
        <v>0.92649999999999999</v>
      </c>
      <c r="D202" s="2">
        <v>1.0793299999999999</v>
      </c>
      <c r="F202" s="5">
        <f t="shared" si="6"/>
        <v>2.8121744160711715E-2</v>
      </c>
      <c r="G202" s="5"/>
      <c r="H202" s="5">
        <f t="shared" si="7"/>
        <v>-3.4198605441818061E-2</v>
      </c>
      <c r="I202" s="5"/>
    </row>
    <row r="203" spans="1:9" ht="15.75" customHeight="1" x14ac:dyDescent="0.3">
      <c r="A203" s="1">
        <v>40463</v>
      </c>
      <c r="B203" s="4">
        <v>742.05</v>
      </c>
      <c r="C203" s="2">
        <v>0.98355000000000004</v>
      </c>
      <c r="D203" s="2">
        <v>1.0167200000000001</v>
      </c>
      <c r="F203" s="5">
        <f t="shared" si="6"/>
        <v>6.1484097589153464E-2</v>
      </c>
      <c r="G203" s="5"/>
      <c r="H203" s="5">
        <f t="shared" si="7"/>
        <v>-5.9758718664759493E-2</v>
      </c>
      <c r="I203" s="5"/>
    </row>
    <row r="204" spans="1:9" ht="15.75" customHeight="1" x14ac:dyDescent="0.3">
      <c r="A204" s="1">
        <v>40494</v>
      </c>
      <c r="B204" s="4">
        <v>775.7</v>
      </c>
      <c r="C204" s="2">
        <v>0.98860000000000003</v>
      </c>
      <c r="D204" s="2">
        <v>1.01153</v>
      </c>
      <c r="F204" s="5">
        <f t="shared" si="6"/>
        <v>4.4349221154998668E-2</v>
      </c>
      <c r="G204" s="5"/>
      <c r="H204" s="5">
        <f t="shared" si="7"/>
        <v>-5.1177234834395187E-3</v>
      </c>
      <c r="I204" s="5"/>
    </row>
    <row r="205" spans="1:9" ht="15.75" customHeight="1" x14ac:dyDescent="0.3">
      <c r="A205" s="1">
        <v>40524</v>
      </c>
      <c r="B205" s="4">
        <v>804.7</v>
      </c>
      <c r="C205" s="2">
        <v>0.9849</v>
      </c>
      <c r="D205" s="2">
        <v>1.0153300000000001</v>
      </c>
      <c r="F205" s="5">
        <f t="shared" si="6"/>
        <v>3.6703689655261336E-2</v>
      </c>
      <c r="G205" s="5"/>
      <c r="H205" s="5">
        <f t="shared" si="7"/>
        <v>3.74964669714238E-3</v>
      </c>
      <c r="I205" s="5"/>
    </row>
    <row r="206" spans="1:9" ht="15.75" customHeight="1" x14ac:dyDescent="0.3">
      <c r="A206" s="1">
        <v>40555</v>
      </c>
      <c r="B206" s="4">
        <v>873.35</v>
      </c>
      <c r="C206" s="2">
        <v>0.99295</v>
      </c>
      <c r="D206" s="2">
        <v>1.0071000000000001</v>
      </c>
      <c r="F206" s="5">
        <f t="shared" si="6"/>
        <v>8.1866854722314655E-2</v>
      </c>
      <c r="G206" s="5"/>
      <c r="H206" s="5">
        <f t="shared" si="7"/>
        <v>-8.1387691334187905E-3</v>
      </c>
      <c r="I206" s="5"/>
    </row>
    <row r="207" spans="1:9" ht="15.75" customHeight="1" x14ac:dyDescent="0.3">
      <c r="A207" s="1">
        <v>40586</v>
      </c>
      <c r="B207" s="4">
        <v>918.7</v>
      </c>
      <c r="C207" s="2">
        <v>1.0019499999999999</v>
      </c>
      <c r="D207" s="2">
        <v>0.99804999999999999</v>
      </c>
      <c r="F207" s="5">
        <f t="shared" si="6"/>
        <v>5.0623235403018912E-2</v>
      </c>
      <c r="G207" s="5"/>
      <c r="H207" s="5">
        <f t="shared" si="7"/>
        <v>-9.0268173972074435E-3</v>
      </c>
      <c r="I207" s="5"/>
    </row>
    <row r="208" spans="1:9" ht="15.75" customHeight="1" x14ac:dyDescent="0.3">
      <c r="A208" s="1">
        <v>40614</v>
      </c>
      <c r="B208" s="4">
        <v>1019.6</v>
      </c>
      <c r="C208" s="2">
        <v>1.0056499999999999</v>
      </c>
      <c r="D208" s="2">
        <v>0.99438000000000004</v>
      </c>
      <c r="F208" s="5">
        <f t="shared" si="6"/>
        <v>0.10420604522453961</v>
      </c>
      <c r="G208" s="5"/>
      <c r="H208" s="5">
        <f t="shared" si="7"/>
        <v>-3.6839478933840667E-3</v>
      </c>
      <c r="I208" s="5"/>
    </row>
    <row r="209" spans="1:9" ht="15.75" customHeight="1" x14ac:dyDescent="0.3">
      <c r="A209" s="1">
        <v>40645</v>
      </c>
      <c r="B209" s="4">
        <v>1072.4000000000001</v>
      </c>
      <c r="C209" s="2">
        <v>1.0467</v>
      </c>
      <c r="D209" s="2">
        <v>0.95538000000000001</v>
      </c>
      <c r="F209" s="5">
        <f t="shared" si="6"/>
        <v>5.048873385984385E-2</v>
      </c>
      <c r="G209" s="5"/>
      <c r="H209" s="5">
        <f t="shared" si="7"/>
        <v>-4.001026026711791E-2</v>
      </c>
      <c r="I209" s="5"/>
    </row>
    <row r="210" spans="1:9" ht="15.75" customHeight="1" x14ac:dyDescent="0.3">
      <c r="A210" s="1">
        <v>40675</v>
      </c>
      <c r="B210" s="4">
        <v>988</v>
      </c>
      <c r="C210" s="2">
        <v>1.06175</v>
      </c>
      <c r="D210" s="2">
        <v>0.94184000000000001</v>
      </c>
      <c r="F210" s="5">
        <f t="shared" si="6"/>
        <v>-8.1971708613936475E-2</v>
      </c>
      <c r="G210" s="5"/>
      <c r="H210" s="5">
        <f t="shared" si="7"/>
        <v>-1.4273758326448305E-2</v>
      </c>
      <c r="I210" s="5"/>
    </row>
    <row r="211" spans="1:9" ht="15.75" customHeight="1" x14ac:dyDescent="0.3">
      <c r="A211" s="1">
        <v>40706</v>
      </c>
      <c r="B211" s="4">
        <v>1053.6500000000001</v>
      </c>
      <c r="C211" s="2">
        <v>1.0550999999999999</v>
      </c>
      <c r="D211" s="2">
        <v>0.94777999999999996</v>
      </c>
      <c r="F211" s="5">
        <f t="shared" si="6"/>
        <v>6.4332907895354091E-2</v>
      </c>
      <c r="G211" s="5"/>
      <c r="H211" s="5">
        <f t="shared" si="7"/>
        <v>6.2869990427004314E-3</v>
      </c>
      <c r="I211" s="5"/>
    </row>
    <row r="212" spans="1:9" ht="15.75" customHeight="1" x14ac:dyDescent="0.3">
      <c r="A212" s="1">
        <v>40736</v>
      </c>
      <c r="B212" s="4">
        <v>1040.2</v>
      </c>
      <c r="C212" s="2">
        <v>1.0598000000000001</v>
      </c>
      <c r="D212" s="2">
        <v>0.94357000000000002</v>
      </c>
      <c r="F212" s="5">
        <f t="shared" si="6"/>
        <v>-1.284732430424977E-2</v>
      </c>
      <c r="G212" s="5"/>
      <c r="H212" s="5">
        <f t="shared" si="7"/>
        <v>-4.451853917217476E-3</v>
      </c>
      <c r="I212" s="5"/>
    </row>
    <row r="213" spans="1:9" ht="15.75" customHeight="1" x14ac:dyDescent="0.3">
      <c r="A213" s="1">
        <v>40767</v>
      </c>
      <c r="B213" s="4">
        <v>982.95</v>
      </c>
      <c r="C213" s="2">
        <v>1.0327999999999999</v>
      </c>
      <c r="D213" s="2">
        <v>0.96823999999999999</v>
      </c>
      <c r="F213" s="5">
        <f t="shared" si="6"/>
        <v>-5.6610027185356578E-2</v>
      </c>
      <c r="G213" s="5"/>
      <c r="H213" s="5">
        <f t="shared" si="7"/>
        <v>2.5809436534924082E-2</v>
      </c>
      <c r="I213" s="5"/>
    </row>
    <row r="214" spans="1:9" ht="15.75" customHeight="1" x14ac:dyDescent="0.3">
      <c r="A214" s="1">
        <v>40798</v>
      </c>
      <c r="B214" s="4">
        <v>990.3</v>
      </c>
      <c r="C214" s="2">
        <v>1.0327500000000001</v>
      </c>
      <c r="D214" s="2">
        <v>0.96828999999999998</v>
      </c>
      <c r="F214" s="5">
        <f t="shared" si="6"/>
        <v>7.4496733736412685E-3</v>
      </c>
      <c r="G214" s="5"/>
      <c r="H214" s="5">
        <f t="shared" si="7"/>
        <v>5.1638755930577055E-5</v>
      </c>
      <c r="I214" s="5"/>
    </row>
    <row r="215" spans="1:9" ht="15.75" customHeight="1" x14ac:dyDescent="0.3">
      <c r="A215" s="1">
        <v>40828</v>
      </c>
      <c r="B215" s="4">
        <v>978.1</v>
      </c>
      <c r="C215" s="2">
        <v>1.0177499999999999</v>
      </c>
      <c r="D215" s="2">
        <v>0.98255999999999999</v>
      </c>
      <c r="F215" s="5">
        <f t="shared" si="6"/>
        <v>-1.2396013230809737E-2</v>
      </c>
      <c r="G215" s="5"/>
      <c r="H215" s="5">
        <f t="shared" si="7"/>
        <v>1.4629781394810233E-2</v>
      </c>
      <c r="I215" s="5"/>
    </row>
    <row r="216" spans="1:9" ht="15.75" customHeight="1" x14ac:dyDescent="0.3">
      <c r="A216" s="1">
        <v>40859</v>
      </c>
      <c r="B216" s="4">
        <v>1063.1500000000001</v>
      </c>
      <c r="C216" s="2">
        <v>1.0257000000000001</v>
      </c>
      <c r="D216" s="2">
        <v>0.97494000000000003</v>
      </c>
      <c r="F216" s="5">
        <f t="shared" si="6"/>
        <v>8.3379564156263269E-2</v>
      </c>
      <c r="G216" s="5"/>
      <c r="H216" s="5">
        <f t="shared" si="7"/>
        <v>-7.7854799383491879E-3</v>
      </c>
      <c r="I216" s="5"/>
    </row>
    <row r="217" spans="1:9" ht="15.75" customHeight="1" x14ac:dyDescent="0.3">
      <c r="A217" s="1">
        <v>40889</v>
      </c>
      <c r="B217" s="4">
        <v>968.65</v>
      </c>
      <c r="C217" s="2">
        <v>1.0086999999999999</v>
      </c>
      <c r="D217" s="2">
        <v>0.99138000000000004</v>
      </c>
      <c r="F217" s="5">
        <f t="shared" si="6"/>
        <v>-9.3088128919755597E-2</v>
      </c>
      <c r="G217" s="5"/>
      <c r="H217" s="5">
        <f t="shared" si="7"/>
        <v>1.6721981248214498E-2</v>
      </c>
      <c r="I217" s="5"/>
    </row>
    <row r="218" spans="1:9" ht="15.75" customHeight="1" x14ac:dyDescent="0.3">
      <c r="A218" s="1">
        <v>40920</v>
      </c>
      <c r="B218" s="4">
        <v>1015.8</v>
      </c>
      <c r="C218" s="2">
        <v>1.0309999999999999</v>
      </c>
      <c r="D218" s="2">
        <v>0.96992999999999996</v>
      </c>
      <c r="F218" s="5">
        <f t="shared" si="6"/>
        <v>4.7528408834189788E-2</v>
      </c>
      <c r="G218" s="5"/>
      <c r="H218" s="5">
        <f t="shared" si="7"/>
        <v>-2.187400794599478E-2</v>
      </c>
      <c r="I218" s="5"/>
    </row>
    <row r="219" spans="1:9" ht="15.75" customHeight="1" x14ac:dyDescent="0.3">
      <c r="A219" s="1">
        <v>40951</v>
      </c>
      <c r="B219" s="4">
        <v>1037.95</v>
      </c>
      <c r="C219" s="2">
        <v>1.0681499999999999</v>
      </c>
      <c r="D219" s="2">
        <v>0.93620000000000003</v>
      </c>
      <c r="F219" s="5">
        <f t="shared" si="6"/>
        <v>2.1571134641658964E-2</v>
      </c>
      <c r="G219" s="5"/>
      <c r="H219" s="5">
        <f t="shared" si="7"/>
        <v>-3.5394775078989457E-2</v>
      </c>
      <c r="I219" s="5"/>
    </row>
    <row r="220" spans="1:9" ht="15.75" customHeight="1" x14ac:dyDescent="0.3">
      <c r="A220" s="1">
        <v>40980</v>
      </c>
      <c r="B220" s="4">
        <v>1079.7</v>
      </c>
      <c r="C220" s="2">
        <v>1.04915</v>
      </c>
      <c r="D220" s="2">
        <v>0.95315000000000005</v>
      </c>
      <c r="F220" s="5">
        <f t="shared" si="6"/>
        <v>3.9435610744291291E-2</v>
      </c>
      <c r="G220" s="5"/>
      <c r="H220" s="5">
        <f t="shared" si="7"/>
        <v>1.7943160094015361E-2</v>
      </c>
      <c r="I220" s="5"/>
    </row>
    <row r="221" spans="1:9" ht="15.75" customHeight="1" x14ac:dyDescent="0.3">
      <c r="A221" s="1">
        <v>41011</v>
      </c>
      <c r="B221" s="4">
        <v>1058.4000000000001</v>
      </c>
      <c r="C221" s="2">
        <v>1.04335</v>
      </c>
      <c r="D221" s="2">
        <v>0.95845000000000002</v>
      </c>
      <c r="F221" s="5">
        <f t="shared" si="6"/>
        <v>-1.9924890952348749E-2</v>
      </c>
      <c r="G221" s="5"/>
      <c r="H221" s="5">
        <f t="shared" si="7"/>
        <v>5.5451073241836388E-3</v>
      </c>
      <c r="I221" s="5"/>
    </row>
    <row r="222" spans="1:9" ht="15.75" customHeight="1" x14ac:dyDescent="0.3">
      <c r="A222" s="1">
        <v>41041</v>
      </c>
      <c r="B222" s="4">
        <v>1011.4</v>
      </c>
      <c r="C222" s="2">
        <v>1.0063500000000001</v>
      </c>
      <c r="D222" s="2">
        <v>0.99368999999999996</v>
      </c>
      <c r="F222" s="5">
        <f t="shared" si="6"/>
        <v>-4.5422824154863435E-2</v>
      </c>
      <c r="G222" s="5"/>
      <c r="H222" s="5">
        <f t="shared" si="7"/>
        <v>3.6107890503095631E-2</v>
      </c>
      <c r="I222" s="5"/>
    </row>
    <row r="223" spans="1:9" ht="15.75" customHeight="1" x14ac:dyDescent="0.3">
      <c r="A223" s="1">
        <v>41072</v>
      </c>
      <c r="B223" s="4">
        <v>889</v>
      </c>
      <c r="C223" s="2">
        <v>0.9899</v>
      </c>
      <c r="D223" s="2">
        <v>1.0102</v>
      </c>
      <c r="F223" s="5">
        <f t="shared" si="6"/>
        <v>-0.12899355313197808</v>
      </c>
      <c r="G223" s="5"/>
      <c r="H223" s="5">
        <f t="shared" si="7"/>
        <v>1.6478323246687174E-2</v>
      </c>
      <c r="I223" s="5"/>
    </row>
    <row r="224" spans="1:9" ht="15.75" customHeight="1" x14ac:dyDescent="0.3">
      <c r="A224" s="1">
        <v>41102</v>
      </c>
      <c r="B224" s="4">
        <v>911.55</v>
      </c>
      <c r="C224" s="2">
        <v>1.01075</v>
      </c>
      <c r="D224" s="2">
        <v>0.98936000000000002</v>
      </c>
      <c r="F224" s="5">
        <f t="shared" si="6"/>
        <v>2.504921173556926E-2</v>
      </c>
      <c r="G224" s="5"/>
      <c r="H224" s="5">
        <f t="shared" si="7"/>
        <v>-2.0845340600150496E-2</v>
      </c>
      <c r="I224" s="5"/>
    </row>
    <row r="225" spans="1:9" ht="15.75" customHeight="1" x14ac:dyDescent="0.3">
      <c r="A225" s="1">
        <v>41133</v>
      </c>
      <c r="B225" s="4">
        <v>1019.8</v>
      </c>
      <c r="C225" s="2">
        <v>1.056</v>
      </c>
      <c r="D225" s="2">
        <v>0.94696999999999998</v>
      </c>
      <c r="F225" s="5">
        <f t="shared" si="6"/>
        <v>0.11221536137158145</v>
      </c>
      <c r="G225" s="5"/>
      <c r="H225" s="5">
        <f t="shared" si="7"/>
        <v>-4.3790855735785547E-2</v>
      </c>
      <c r="I225" s="5"/>
    </row>
    <row r="226" spans="1:9" ht="15.75" customHeight="1" x14ac:dyDescent="0.3">
      <c r="A226" s="1">
        <v>41164</v>
      </c>
      <c r="B226" s="4">
        <v>1080.3</v>
      </c>
      <c r="C226" s="2">
        <v>1.04495</v>
      </c>
      <c r="D226" s="2">
        <v>0.95698000000000005</v>
      </c>
      <c r="F226" s="5">
        <f t="shared" si="6"/>
        <v>5.7632250701883929E-2</v>
      </c>
      <c r="G226" s="5"/>
      <c r="H226" s="5">
        <f t="shared" si="7"/>
        <v>1.051507889497021E-2</v>
      </c>
      <c r="I226" s="5"/>
    </row>
    <row r="227" spans="1:9" ht="15.75" customHeight="1" x14ac:dyDescent="0.3">
      <c r="A227" s="1">
        <v>41194</v>
      </c>
      <c r="B227" s="4">
        <v>1063.0999999999999</v>
      </c>
      <c r="C227" s="2">
        <v>1.02345</v>
      </c>
      <c r="D227" s="2">
        <v>0.97709000000000001</v>
      </c>
      <c r="F227" s="5">
        <f t="shared" si="6"/>
        <v>-1.6049612028379803E-2</v>
      </c>
      <c r="G227" s="5"/>
      <c r="H227" s="5">
        <f t="shared" si="7"/>
        <v>2.0796273937935213E-2</v>
      </c>
      <c r="I227" s="5"/>
    </row>
    <row r="228" spans="1:9" ht="15.75" customHeight="1" x14ac:dyDescent="0.3">
      <c r="A228" s="1">
        <v>41225</v>
      </c>
      <c r="B228" s="4">
        <v>991.6</v>
      </c>
      <c r="C228" s="2">
        <v>1.0427500000000001</v>
      </c>
      <c r="D228" s="2">
        <v>0.95899999999999996</v>
      </c>
      <c r="F228" s="5">
        <f t="shared" si="6"/>
        <v>-6.9624647133523912E-2</v>
      </c>
      <c r="G228" s="5"/>
      <c r="H228" s="5">
        <f t="shared" si="7"/>
        <v>-1.8687691647483396E-2</v>
      </c>
      <c r="I228" s="5"/>
    </row>
    <row r="229" spans="1:9" ht="15.75" customHeight="1" x14ac:dyDescent="0.3">
      <c r="A229" s="1">
        <v>41255</v>
      </c>
      <c r="B229" s="4">
        <v>978.4</v>
      </c>
      <c r="C229" s="2">
        <v>1.0543499999999999</v>
      </c>
      <c r="D229" s="2">
        <v>0.94845000000000002</v>
      </c>
      <c r="F229" s="5">
        <f t="shared" si="6"/>
        <v>-1.3401215788072867E-2</v>
      </c>
      <c r="G229" s="5"/>
      <c r="H229" s="5">
        <f t="shared" si="7"/>
        <v>-1.1062001710706253E-2</v>
      </c>
      <c r="I229" s="5"/>
    </row>
    <row r="230" spans="1:9" ht="15.75" customHeight="1" x14ac:dyDescent="0.3">
      <c r="A230" s="1">
        <v>41286</v>
      </c>
      <c r="B230" s="4">
        <v>999.35</v>
      </c>
      <c r="C230" s="2">
        <v>1.0549500000000001</v>
      </c>
      <c r="D230" s="2">
        <v>0.94791000000000003</v>
      </c>
      <c r="F230" s="5">
        <f t="shared" si="6"/>
        <v>2.1186483267588263E-2</v>
      </c>
      <c r="G230" s="5"/>
      <c r="H230" s="5">
        <f t="shared" si="7"/>
        <v>-5.6951213334543224E-4</v>
      </c>
      <c r="I230" s="5"/>
    </row>
    <row r="231" spans="1:9" ht="15.75" customHeight="1" x14ac:dyDescent="0.3">
      <c r="A231" s="1">
        <v>41317</v>
      </c>
      <c r="B231" s="4">
        <v>1072.2</v>
      </c>
      <c r="C231" s="2">
        <v>1.0308999999999999</v>
      </c>
      <c r="D231" s="2">
        <v>0.97002999999999995</v>
      </c>
      <c r="F231" s="5">
        <f t="shared" si="6"/>
        <v>7.0362823752886591E-2</v>
      </c>
      <c r="G231" s="5"/>
      <c r="H231" s="5">
        <f t="shared" si="7"/>
        <v>2.3067437814837801E-2</v>
      </c>
      <c r="I231" s="5"/>
    </row>
    <row r="232" spans="1:9" ht="15.75" customHeight="1" x14ac:dyDescent="0.3">
      <c r="A232" s="1">
        <v>41345</v>
      </c>
      <c r="B232" s="4">
        <v>986.95</v>
      </c>
      <c r="C232" s="2">
        <v>1.0317499999999999</v>
      </c>
      <c r="D232" s="2">
        <v>0.96923000000000004</v>
      </c>
      <c r="F232" s="5">
        <f t="shared" si="6"/>
        <v>-8.2848511804440847E-2</v>
      </c>
      <c r="G232" s="5"/>
      <c r="H232" s="5">
        <f t="shared" si="7"/>
        <v>-8.2505702730032576E-4</v>
      </c>
      <c r="I232" s="5"/>
    </row>
    <row r="233" spans="1:9" ht="15.75" customHeight="1" x14ac:dyDescent="0.3">
      <c r="A233" s="1">
        <v>41376</v>
      </c>
      <c r="B233" s="4">
        <v>899.7</v>
      </c>
      <c r="C233" s="2">
        <v>1.0501499999999999</v>
      </c>
      <c r="D233" s="2">
        <v>0.95223999999999998</v>
      </c>
      <c r="F233" s="5">
        <f t="shared" si="6"/>
        <v>-9.2558005165923371E-2</v>
      </c>
      <c r="G233" s="5"/>
      <c r="H233" s="5">
        <f t="shared" si="7"/>
        <v>-1.7684837967299777E-2</v>
      </c>
      <c r="I233" s="5"/>
    </row>
    <row r="234" spans="1:9" ht="15.75" customHeight="1" x14ac:dyDescent="0.3">
      <c r="A234" s="1">
        <v>41406</v>
      </c>
      <c r="B234" s="4">
        <v>888.75</v>
      </c>
      <c r="C234" s="2">
        <v>1.0000500000000001</v>
      </c>
      <c r="D234" s="2">
        <v>0.99995000000000001</v>
      </c>
      <c r="F234" s="5">
        <f t="shared" si="6"/>
        <v>-1.2245393305622488E-2</v>
      </c>
      <c r="G234" s="5"/>
      <c r="H234" s="5">
        <f t="shared" si="7"/>
        <v>4.8888173872471068E-2</v>
      </c>
      <c r="I234" s="5"/>
    </row>
    <row r="235" spans="1:9" ht="15.75" customHeight="1" x14ac:dyDescent="0.3">
      <c r="A235" s="1">
        <v>41437</v>
      </c>
      <c r="B235" s="4">
        <v>919.7</v>
      </c>
      <c r="C235" s="2">
        <v>0.95055000000000001</v>
      </c>
      <c r="D235" s="2">
        <v>1.05202</v>
      </c>
      <c r="F235" s="5">
        <f t="shared" si="6"/>
        <v>3.4231548791201258E-2</v>
      </c>
      <c r="G235" s="5"/>
      <c r="H235" s="5">
        <f t="shared" si="7"/>
        <v>5.0762126791689392E-2</v>
      </c>
      <c r="I235" s="5"/>
    </row>
    <row r="236" spans="1:9" ht="15.75" customHeight="1" x14ac:dyDescent="0.3">
      <c r="A236" s="1">
        <v>41467</v>
      </c>
      <c r="B236" s="4">
        <v>964.75</v>
      </c>
      <c r="C236" s="2">
        <v>0.90595000000000003</v>
      </c>
      <c r="D236" s="2">
        <v>1.10381</v>
      </c>
      <c r="F236" s="5">
        <f t="shared" si="6"/>
        <v>4.7821470509076071E-2</v>
      </c>
      <c r="G236" s="5"/>
      <c r="H236" s="5">
        <f t="shared" si="7"/>
        <v>4.8055706052826636E-2</v>
      </c>
      <c r="I236" s="5"/>
    </row>
    <row r="237" spans="1:9" ht="15.75" customHeight="1" x14ac:dyDescent="0.3">
      <c r="A237" s="1">
        <v>41498</v>
      </c>
      <c r="B237" s="4">
        <v>957.75</v>
      </c>
      <c r="C237" s="2">
        <v>0.91754999999999998</v>
      </c>
      <c r="D237" s="2">
        <v>1.0898600000000001</v>
      </c>
      <c r="F237" s="5">
        <f t="shared" si="6"/>
        <v>-7.2822168369697177E-3</v>
      </c>
      <c r="G237" s="5"/>
      <c r="H237" s="5">
        <f t="shared" si="7"/>
        <v>-1.2718583969564819E-2</v>
      </c>
      <c r="I237" s="5"/>
    </row>
    <row r="238" spans="1:9" ht="15.75" customHeight="1" x14ac:dyDescent="0.3">
      <c r="A238" s="1">
        <v>41529</v>
      </c>
      <c r="B238" s="4">
        <v>992</v>
      </c>
      <c r="C238" s="2">
        <v>0.92759999999999998</v>
      </c>
      <c r="D238" s="2">
        <v>1.07805</v>
      </c>
      <c r="F238" s="5">
        <f t="shared" si="6"/>
        <v>3.5136323704114382E-2</v>
      </c>
      <c r="G238" s="5"/>
      <c r="H238" s="5">
        <f t="shared" si="7"/>
        <v>-1.0895394024485427E-2</v>
      </c>
      <c r="I238" s="5"/>
    </row>
    <row r="239" spans="1:9" ht="15.75" customHeight="1" x14ac:dyDescent="0.3">
      <c r="A239" s="1">
        <v>41559</v>
      </c>
      <c r="B239" s="4">
        <v>983</v>
      </c>
      <c r="C239" s="2">
        <v>0.94630000000000003</v>
      </c>
      <c r="D239" s="2">
        <v>1.0567500000000001</v>
      </c>
      <c r="F239" s="5">
        <f t="shared" si="6"/>
        <v>-9.1139871377062046E-3</v>
      </c>
      <c r="G239" s="5"/>
      <c r="H239" s="5">
        <f t="shared" si="7"/>
        <v>-1.995569313566186E-2</v>
      </c>
      <c r="I239" s="5"/>
    </row>
    <row r="240" spans="1:9" ht="15.75" customHeight="1" x14ac:dyDescent="0.3">
      <c r="A240" s="1">
        <v>41590</v>
      </c>
      <c r="B240" s="4">
        <v>954.25</v>
      </c>
      <c r="C240" s="2">
        <v>0.93159999999999998</v>
      </c>
      <c r="D240" s="2">
        <v>1.07342</v>
      </c>
      <c r="F240" s="5">
        <f t="shared" si="6"/>
        <v>-2.9683428521827419E-2</v>
      </c>
      <c r="G240" s="5"/>
      <c r="H240" s="5">
        <f t="shared" si="7"/>
        <v>1.5651652505330217E-2</v>
      </c>
      <c r="I240" s="5"/>
    </row>
    <row r="241" spans="1:9" ht="15.75" customHeight="1" x14ac:dyDescent="0.3">
      <c r="A241" s="1">
        <v>41620</v>
      </c>
      <c r="B241" s="4">
        <v>979</v>
      </c>
      <c r="C241" s="2">
        <v>0.89324999999999999</v>
      </c>
      <c r="D241" s="2">
        <v>1.11951</v>
      </c>
      <c r="F241" s="5">
        <f t="shared" si="6"/>
        <v>2.5605950905171277E-2</v>
      </c>
      <c r="G241" s="5"/>
      <c r="H241" s="5">
        <f t="shared" si="7"/>
        <v>4.2041276605863105E-2</v>
      </c>
      <c r="I241" s="5"/>
    </row>
    <row r="242" spans="1:9" ht="15.75" customHeight="1" x14ac:dyDescent="0.3">
      <c r="A242" s="1">
        <v>41651</v>
      </c>
      <c r="B242" s="4">
        <v>952.5</v>
      </c>
      <c r="C242" s="2">
        <v>0.89685000000000004</v>
      </c>
      <c r="D242" s="2">
        <v>1.1150100000000001</v>
      </c>
      <c r="F242" s="5">
        <f t="shared" si="6"/>
        <v>-2.7441535529654389E-2</v>
      </c>
      <c r="G242" s="5"/>
      <c r="H242" s="5">
        <f t="shared" si="7"/>
        <v>-4.0277160942257103E-3</v>
      </c>
      <c r="I242" s="5"/>
    </row>
    <row r="243" spans="1:9" ht="15.75" customHeight="1" x14ac:dyDescent="0.3">
      <c r="A243" s="1">
        <v>41682</v>
      </c>
      <c r="B243" s="4">
        <v>964.25</v>
      </c>
      <c r="C243" s="2">
        <v>0.90334999999999999</v>
      </c>
      <c r="D243" s="2">
        <v>1.1069899999999999</v>
      </c>
      <c r="F243" s="5">
        <f t="shared" si="6"/>
        <v>1.2260490087481138E-2</v>
      </c>
      <c r="G243" s="5"/>
      <c r="H243" s="5">
        <f t="shared" si="7"/>
        <v>-7.2187532196993339E-3</v>
      </c>
      <c r="I243" s="5"/>
    </row>
    <row r="244" spans="1:9" ht="15.75" customHeight="1" x14ac:dyDescent="0.3">
      <c r="A244" s="1">
        <v>41710</v>
      </c>
      <c r="B244" s="4">
        <v>933.5</v>
      </c>
      <c r="C244" s="2">
        <v>0.89715</v>
      </c>
      <c r="D244" s="2">
        <v>1.1146400000000001</v>
      </c>
      <c r="F244" s="5">
        <f t="shared" si="6"/>
        <v>-3.2409634106559879E-2</v>
      </c>
      <c r="G244" s="5"/>
      <c r="H244" s="5">
        <f t="shared" si="7"/>
        <v>6.8868625611688255E-3</v>
      </c>
      <c r="I244" s="5"/>
    </row>
    <row r="245" spans="1:9" ht="15.75" customHeight="1" x14ac:dyDescent="0.3">
      <c r="A245" s="1">
        <v>41741</v>
      </c>
      <c r="B245" s="4">
        <v>934</v>
      </c>
      <c r="C245" s="2">
        <v>0.94025000000000003</v>
      </c>
      <c r="D245" s="2">
        <v>1.06355</v>
      </c>
      <c r="F245" s="5">
        <f t="shared" si="6"/>
        <v>5.3547524706532847E-4</v>
      </c>
      <c r="G245" s="5"/>
      <c r="H245" s="5">
        <f t="shared" si="7"/>
        <v>-4.6919113695676841E-2</v>
      </c>
      <c r="I245" s="5"/>
    </row>
    <row r="246" spans="1:9" ht="15.75" customHeight="1" x14ac:dyDescent="0.3">
      <c r="A246" s="1">
        <v>41771</v>
      </c>
      <c r="B246" s="4">
        <v>951.5</v>
      </c>
      <c r="C246" s="2">
        <v>0.93584999999999996</v>
      </c>
      <c r="D246" s="2">
        <v>1.0685500000000001</v>
      </c>
      <c r="F246" s="5">
        <f t="shared" si="6"/>
        <v>1.8563248507361591E-2</v>
      </c>
      <c r="G246" s="5"/>
      <c r="H246" s="5">
        <f t="shared" si="7"/>
        <v>4.6902201265407659E-3</v>
      </c>
      <c r="I246" s="5"/>
    </row>
    <row r="247" spans="1:9" ht="15.75" customHeight="1" x14ac:dyDescent="0.3">
      <c r="A247" s="1">
        <v>41802</v>
      </c>
      <c r="B247" s="4">
        <v>951.5</v>
      </c>
      <c r="C247" s="2">
        <v>0.94245000000000001</v>
      </c>
      <c r="D247" s="2">
        <v>1.0610599999999999</v>
      </c>
      <c r="F247" s="5">
        <f t="shared" si="6"/>
        <v>0</v>
      </c>
      <c r="G247" s="5"/>
      <c r="H247" s="5">
        <f t="shared" si="7"/>
        <v>-7.034180797003976E-3</v>
      </c>
      <c r="I247" s="5"/>
    </row>
    <row r="248" spans="1:9" ht="15.75" customHeight="1" x14ac:dyDescent="0.3">
      <c r="A248" s="1">
        <v>41832</v>
      </c>
      <c r="B248" s="4">
        <v>941.5</v>
      </c>
      <c r="C248" s="2">
        <v>0.93805000000000005</v>
      </c>
      <c r="D248" s="2">
        <v>1.0660400000000001</v>
      </c>
      <c r="F248" s="5">
        <f t="shared" si="6"/>
        <v>-1.0565338638997125E-2</v>
      </c>
      <c r="G248" s="5"/>
      <c r="H248" s="5">
        <f t="shared" si="7"/>
        <v>4.6824400347640566E-3</v>
      </c>
      <c r="I248" s="5"/>
    </row>
    <row r="249" spans="1:9" ht="15.75" customHeight="1" x14ac:dyDescent="0.3">
      <c r="A249" s="1">
        <v>41863</v>
      </c>
      <c r="B249" s="4">
        <v>932.5</v>
      </c>
      <c r="C249" s="2">
        <v>0.92715000000000003</v>
      </c>
      <c r="D249" s="2">
        <v>1.07857</v>
      </c>
      <c r="F249" s="5">
        <f t="shared" si="6"/>
        <v>-9.6051965792364937E-3</v>
      </c>
      <c r="G249" s="5"/>
      <c r="H249" s="5">
        <f t="shared" si="7"/>
        <v>1.1685241209608186E-2</v>
      </c>
      <c r="I249" s="5"/>
    </row>
    <row r="250" spans="1:9" ht="15.75" customHeight="1" x14ac:dyDescent="0.3">
      <c r="A250" s="1">
        <v>41894</v>
      </c>
      <c r="B250" s="4">
        <v>882.25</v>
      </c>
      <c r="C250" s="2">
        <v>0.90434999999999999</v>
      </c>
      <c r="D250" s="2">
        <v>1.1057699999999999</v>
      </c>
      <c r="F250" s="5">
        <f t="shared" si="6"/>
        <v>-5.5393688962591128E-2</v>
      </c>
      <c r="G250" s="5"/>
      <c r="H250" s="5">
        <f t="shared" si="7"/>
        <v>2.490583517237771E-2</v>
      </c>
      <c r="I250" s="5"/>
    </row>
    <row r="251" spans="1:9" ht="15.75" customHeight="1" x14ac:dyDescent="0.3">
      <c r="A251" s="1">
        <v>41924</v>
      </c>
      <c r="B251" s="4">
        <v>807</v>
      </c>
      <c r="C251" s="2">
        <v>0.87195</v>
      </c>
      <c r="D251" s="2">
        <v>1.1468499999999999</v>
      </c>
      <c r="F251" s="5">
        <f t="shared" si="6"/>
        <v>-8.9151794285430686E-2</v>
      </c>
      <c r="G251" s="5"/>
      <c r="H251" s="5">
        <f t="shared" si="7"/>
        <v>3.6477128784278237E-2</v>
      </c>
      <c r="I251" s="5"/>
    </row>
    <row r="252" spans="1:9" ht="15.75" customHeight="1" x14ac:dyDescent="0.3">
      <c r="A252" s="1">
        <v>41955</v>
      </c>
      <c r="B252" s="4">
        <v>776.75</v>
      </c>
      <c r="C252" s="2">
        <v>0.87324999999999997</v>
      </c>
      <c r="D252" s="2">
        <v>1.1451499999999999</v>
      </c>
      <c r="F252" s="5">
        <f t="shared" si="6"/>
        <v>-3.8205119996791978E-2</v>
      </c>
      <c r="G252" s="5"/>
      <c r="H252" s="5">
        <f t="shared" si="7"/>
        <v>-1.4834208653951712E-3</v>
      </c>
      <c r="I252" s="5"/>
    </row>
    <row r="253" spans="1:9" ht="15.75" customHeight="1" x14ac:dyDescent="0.3">
      <c r="A253" s="1">
        <v>41985</v>
      </c>
      <c r="B253" s="4">
        <v>598.5</v>
      </c>
      <c r="C253" s="2">
        <v>0.82489999999999997</v>
      </c>
      <c r="D253" s="2">
        <v>1.21227</v>
      </c>
      <c r="F253" s="5">
        <f t="shared" si="6"/>
        <v>-0.26069202327512897</v>
      </c>
      <c r="G253" s="5"/>
      <c r="H253" s="5">
        <f t="shared" si="7"/>
        <v>5.6959002321598867E-2</v>
      </c>
      <c r="I253" s="5"/>
    </row>
    <row r="254" spans="1:9" ht="15.75" customHeight="1" x14ac:dyDescent="0.3">
      <c r="A254" s="1">
        <v>42016</v>
      </c>
      <c r="B254" s="4">
        <v>481.75</v>
      </c>
      <c r="C254" s="2">
        <v>0.81584999999999996</v>
      </c>
      <c r="D254" s="2">
        <v>1.2257199999999999</v>
      </c>
      <c r="F254" s="5">
        <f t="shared" si="6"/>
        <v>-0.21700121770355202</v>
      </c>
      <c r="G254" s="5"/>
      <c r="H254" s="5">
        <f t="shared" si="7"/>
        <v>1.1033791324061296E-2</v>
      </c>
      <c r="I254" s="5"/>
    </row>
    <row r="255" spans="1:9" ht="15.75" customHeight="1" x14ac:dyDescent="0.3">
      <c r="A255" s="1">
        <v>42047</v>
      </c>
      <c r="B255" s="4">
        <v>599</v>
      </c>
      <c r="C255" s="2">
        <v>0.77134999999999998</v>
      </c>
      <c r="D255" s="2">
        <v>1.29643</v>
      </c>
      <c r="F255" s="5">
        <f t="shared" si="6"/>
        <v>0.21783629082097364</v>
      </c>
      <c r="G255" s="5"/>
      <c r="H255" s="5">
        <f t="shared" si="7"/>
        <v>5.6085906585016228E-2</v>
      </c>
      <c r="I255" s="5"/>
    </row>
    <row r="256" spans="1:9" ht="15.75" customHeight="1" x14ac:dyDescent="0.3">
      <c r="A256" s="1">
        <v>42075</v>
      </c>
      <c r="B256" s="4">
        <v>551.75</v>
      </c>
      <c r="C256" s="2">
        <v>0.77049999999999996</v>
      </c>
      <c r="D256" s="2">
        <v>1.29786</v>
      </c>
      <c r="F256" s="5">
        <f t="shared" si="6"/>
        <v>-8.2166552978603591E-2</v>
      </c>
      <c r="G256" s="5"/>
      <c r="H256" s="5">
        <f t="shared" si="7"/>
        <v>1.1024211979595202E-3</v>
      </c>
      <c r="I256" s="5"/>
    </row>
    <row r="257" spans="1:9" ht="15.75" customHeight="1" x14ac:dyDescent="0.3">
      <c r="A257" s="1">
        <v>42106</v>
      </c>
      <c r="B257" s="4">
        <v>521.25</v>
      </c>
      <c r="C257" s="2">
        <v>0.76819999999999999</v>
      </c>
      <c r="D257" s="2">
        <v>1.3017399999999999</v>
      </c>
      <c r="F257" s="5">
        <f t="shared" si="6"/>
        <v>-5.686527202383463E-2</v>
      </c>
      <c r="G257" s="5"/>
      <c r="H257" s="5">
        <f t="shared" si="7"/>
        <v>2.9850768434532774E-3</v>
      </c>
      <c r="I257" s="5"/>
    </row>
    <row r="258" spans="1:9" ht="15.75" customHeight="1" x14ac:dyDescent="0.3">
      <c r="A258" s="1">
        <v>42136</v>
      </c>
      <c r="B258" s="2">
        <v>607.75</v>
      </c>
      <c r="C258" s="2">
        <v>0.79774999999999996</v>
      </c>
      <c r="D258" s="2">
        <v>1.25353</v>
      </c>
      <c r="F258" s="5">
        <f t="shared" si="6"/>
        <v>0.15353384008322146</v>
      </c>
      <c r="G258" s="5"/>
      <c r="H258" s="5">
        <f t="shared" si="7"/>
        <v>-3.7738259747325135E-2</v>
      </c>
      <c r="I258" s="5"/>
    </row>
    <row r="259" spans="1:9" ht="15.75" customHeight="1" x14ac:dyDescent="0.3">
      <c r="A259" s="1">
        <v>42167</v>
      </c>
      <c r="B259" s="2">
        <v>579.25</v>
      </c>
      <c r="C259" s="2">
        <v>0.77395000000000003</v>
      </c>
      <c r="D259" s="2">
        <v>1.2920700000000001</v>
      </c>
      <c r="F259" s="5">
        <f t="shared" si="6"/>
        <v>-4.8029449883747181E-2</v>
      </c>
      <c r="G259" s="5"/>
      <c r="H259" s="5">
        <f t="shared" si="7"/>
        <v>3.0282012141857655E-2</v>
      </c>
      <c r="I259" s="5"/>
    </row>
    <row r="260" spans="1:9" ht="15.75" customHeight="1" x14ac:dyDescent="0.3">
      <c r="A260" s="1">
        <v>42197</v>
      </c>
      <c r="B260" s="2">
        <v>522</v>
      </c>
      <c r="C260" s="2">
        <v>0.74195</v>
      </c>
      <c r="D260" s="2">
        <v>1.3478000000000001</v>
      </c>
      <c r="F260" s="5">
        <f t="shared" si="6"/>
        <v>-0.10406657542984692</v>
      </c>
      <c r="G260" s="5"/>
      <c r="H260" s="5">
        <f t="shared" si="7"/>
        <v>4.2228050070665671E-2</v>
      </c>
      <c r="I260" s="5"/>
    </row>
    <row r="261" spans="1:9" ht="15.75" customHeight="1" x14ac:dyDescent="0.3">
      <c r="A261" s="1">
        <v>42228</v>
      </c>
      <c r="B261" s="2">
        <v>474.5</v>
      </c>
      <c r="C261" s="2">
        <v>0.73704999999999998</v>
      </c>
      <c r="D261" s="2">
        <v>1.35676</v>
      </c>
      <c r="F261" s="5">
        <f t="shared" ref="F261:F324" si="8">LN(B261/B260)</f>
        <v>-9.5405969832656159E-2</v>
      </c>
      <c r="G261" s="5"/>
      <c r="H261" s="5">
        <f t="shared" ref="H261:H324" si="9">LN(D261/D260)</f>
        <v>6.6258709588692477E-3</v>
      </c>
      <c r="I261" s="5"/>
    </row>
    <row r="262" spans="1:9" ht="15.75" customHeight="1" x14ac:dyDescent="0.3">
      <c r="A262" s="1">
        <v>42259</v>
      </c>
      <c r="B262" s="2">
        <v>470</v>
      </c>
      <c r="C262" s="2">
        <v>0.70594999999999997</v>
      </c>
      <c r="D262" s="2">
        <v>1.4165300000000001</v>
      </c>
      <c r="F262" s="5">
        <f t="shared" si="8"/>
        <v>-9.5289233458782808E-3</v>
      </c>
      <c r="G262" s="5"/>
      <c r="H262" s="5">
        <f t="shared" si="9"/>
        <v>4.3110714537544968E-2</v>
      </c>
      <c r="I262" s="5"/>
    </row>
    <row r="263" spans="1:9" ht="15.75" customHeight="1" x14ac:dyDescent="0.3">
      <c r="A263" s="1">
        <v>42289</v>
      </c>
      <c r="B263" s="2">
        <v>471</v>
      </c>
      <c r="C263" s="2">
        <v>0.73714999999999997</v>
      </c>
      <c r="D263" s="2">
        <v>1.3565799999999999</v>
      </c>
      <c r="F263" s="5">
        <f t="shared" si="8"/>
        <v>2.1253993123135366E-3</v>
      </c>
      <c r="G263" s="5"/>
      <c r="H263" s="5">
        <f t="shared" si="9"/>
        <v>-4.3243392344428186E-2</v>
      </c>
      <c r="I263" s="5"/>
    </row>
    <row r="264" spans="1:9" ht="15.75" customHeight="1" x14ac:dyDescent="0.3">
      <c r="A264" s="1">
        <v>42320</v>
      </c>
      <c r="B264" s="2">
        <v>427.75</v>
      </c>
      <c r="C264" s="2">
        <v>0.71079999999999999</v>
      </c>
      <c r="D264" s="2">
        <v>1.4068700000000001</v>
      </c>
      <c r="F264" s="5">
        <f t="shared" si="8"/>
        <v>-9.6319181244114926E-2</v>
      </c>
      <c r="G264" s="5"/>
      <c r="H264" s="5">
        <f t="shared" si="9"/>
        <v>3.6400552014567808E-2</v>
      </c>
      <c r="I264" s="5"/>
    </row>
    <row r="265" spans="1:9" ht="15.75" customHeight="1" x14ac:dyDescent="0.3">
      <c r="A265" s="1">
        <v>42350</v>
      </c>
      <c r="B265" s="2">
        <v>369.25</v>
      </c>
      <c r="C265" s="2">
        <v>0.72070000000000001</v>
      </c>
      <c r="D265" s="2">
        <v>1.38754</v>
      </c>
      <c r="F265" s="5">
        <f t="shared" si="8"/>
        <v>-0.14706499136081363</v>
      </c>
      <c r="G265" s="5"/>
      <c r="H265" s="5">
        <f t="shared" si="9"/>
        <v>-1.3834983644794959E-2</v>
      </c>
      <c r="I265" s="5"/>
    </row>
    <row r="266" spans="1:9" ht="15.75" customHeight="1" x14ac:dyDescent="0.3">
      <c r="A266" s="1">
        <v>42381</v>
      </c>
      <c r="B266" s="2">
        <v>292.5</v>
      </c>
      <c r="C266" s="2">
        <v>0.69810000000000005</v>
      </c>
      <c r="D266" s="2">
        <v>1.4324600000000001</v>
      </c>
      <c r="F266" s="5">
        <f t="shared" si="8"/>
        <v>-0.23300925473957804</v>
      </c>
      <c r="G266" s="5"/>
      <c r="H266" s="5">
        <f t="shared" si="9"/>
        <v>3.1860850953989613E-2</v>
      </c>
      <c r="I266" s="5"/>
    </row>
    <row r="267" spans="1:9" ht="15.75" customHeight="1" x14ac:dyDescent="0.3">
      <c r="A267" s="1">
        <v>42412</v>
      </c>
      <c r="B267" s="2">
        <v>310.5</v>
      </c>
      <c r="C267" s="2">
        <v>0.70814999999999995</v>
      </c>
      <c r="D267" s="2">
        <v>1.4121300000000001</v>
      </c>
      <c r="F267" s="5">
        <f t="shared" si="8"/>
        <v>5.9719234701622277E-2</v>
      </c>
      <c r="G267" s="5"/>
      <c r="H267" s="5">
        <f t="shared" si="9"/>
        <v>-1.4294043184006377E-2</v>
      </c>
      <c r="I267" s="5"/>
    </row>
    <row r="268" spans="1:9" ht="15.75" customHeight="1" x14ac:dyDescent="0.3">
      <c r="A268" s="1">
        <v>42441</v>
      </c>
      <c r="B268" s="2">
        <v>363.25</v>
      </c>
      <c r="C268" s="2">
        <v>0.75514999999999999</v>
      </c>
      <c r="D268" s="2">
        <v>1.3242400000000001</v>
      </c>
      <c r="F268" s="5">
        <f t="shared" si="8"/>
        <v>0.15690740107685891</v>
      </c>
      <c r="G268" s="5"/>
      <c r="H268" s="5">
        <f t="shared" si="9"/>
        <v>-6.4260492851948792E-2</v>
      </c>
      <c r="I268" s="5"/>
    </row>
    <row r="269" spans="1:9" ht="15.75" customHeight="1" x14ac:dyDescent="0.3">
      <c r="A269" s="1">
        <v>42472</v>
      </c>
      <c r="B269" s="2">
        <v>375.75</v>
      </c>
      <c r="C269" s="2">
        <v>0.76305000000000001</v>
      </c>
      <c r="D269" s="2">
        <v>1.31053</v>
      </c>
      <c r="F269" s="5">
        <f t="shared" si="8"/>
        <v>3.383272618269155E-2</v>
      </c>
      <c r="G269" s="5"/>
      <c r="H269" s="5">
        <f t="shared" si="9"/>
        <v>-1.0407074424523211E-2</v>
      </c>
      <c r="I269" s="5"/>
    </row>
    <row r="270" spans="1:9" ht="15.75" customHeight="1" x14ac:dyDescent="0.3">
      <c r="A270" s="1">
        <v>42502</v>
      </c>
      <c r="B270" s="2">
        <v>420.25</v>
      </c>
      <c r="C270" s="2">
        <v>0.73440000000000005</v>
      </c>
      <c r="D270" s="2">
        <v>1.3616600000000001</v>
      </c>
      <c r="F270" s="5">
        <f t="shared" si="8"/>
        <v>0.11192574365564113</v>
      </c>
      <c r="G270" s="5"/>
      <c r="H270" s="5">
        <f t="shared" si="9"/>
        <v>3.8272908125789269E-2</v>
      </c>
      <c r="I270" s="5"/>
    </row>
    <row r="271" spans="1:9" ht="15.75" customHeight="1" x14ac:dyDescent="0.3">
      <c r="A271" s="1">
        <v>42533</v>
      </c>
      <c r="B271" s="2">
        <v>461.5</v>
      </c>
      <c r="C271" s="2">
        <v>0.74045000000000005</v>
      </c>
      <c r="D271" s="2">
        <v>1.35053</v>
      </c>
      <c r="F271" s="5">
        <f t="shared" si="8"/>
        <v>9.3632281654181901E-2</v>
      </c>
      <c r="G271" s="5"/>
      <c r="H271" s="5">
        <f t="shared" si="9"/>
        <v>-8.2074356724162294E-3</v>
      </c>
      <c r="I271" s="5"/>
    </row>
    <row r="272" spans="1:9" ht="15.75" customHeight="1" x14ac:dyDescent="0.3">
      <c r="A272" s="1">
        <v>42563</v>
      </c>
      <c r="B272" s="2">
        <v>430.75</v>
      </c>
      <c r="C272" s="2">
        <v>0.76219999999999999</v>
      </c>
      <c r="D272" s="2">
        <v>1.31199</v>
      </c>
      <c r="F272" s="5">
        <f t="shared" si="8"/>
        <v>-6.8954178534867891E-2</v>
      </c>
      <c r="G272" s="5"/>
      <c r="H272" s="5">
        <f t="shared" si="9"/>
        <v>-2.8952039456992255E-2</v>
      </c>
      <c r="I272" s="5"/>
    </row>
    <row r="273" spans="1:9" ht="15.75" customHeight="1" x14ac:dyDescent="0.3">
      <c r="A273" s="1">
        <v>42594</v>
      </c>
      <c r="B273" s="2">
        <v>423</v>
      </c>
      <c r="C273" s="2">
        <v>0.76949999999999996</v>
      </c>
      <c r="D273" s="2">
        <v>1.29955</v>
      </c>
      <c r="F273" s="5">
        <f t="shared" si="8"/>
        <v>-1.8155696361761037E-2</v>
      </c>
      <c r="G273" s="5"/>
      <c r="H273" s="5">
        <f t="shared" si="9"/>
        <v>-9.5270178453652574E-3</v>
      </c>
      <c r="I273" s="5"/>
    </row>
    <row r="274" spans="1:9" ht="15.75" customHeight="1" x14ac:dyDescent="0.3">
      <c r="A274" s="1">
        <v>42625</v>
      </c>
      <c r="B274" s="2">
        <v>416</v>
      </c>
      <c r="C274" s="2">
        <v>0.75185000000000002</v>
      </c>
      <c r="D274" s="2">
        <v>1.33005</v>
      </c>
      <c r="F274" s="5">
        <f t="shared" si="8"/>
        <v>-1.6686918785014711E-2</v>
      </c>
      <c r="G274" s="5"/>
      <c r="H274" s="5">
        <f t="shared" si="9"/>
        <v>2.3198484815723282E-2</v>
      </c>
      <c r="I274" s="5"/>
    </row>
    <row r="275" spans="1:9" ht="15.75" customHeight="1" x14ac:dyDescent="0.3">
      <c r="A275" s="1">
        <v>42655</v>
      </c>
      <c r="B275" s="2">
        <v>475.5</v>
      </c>
      <c r="C275" s="2">
        <v>0.75724999999999998</v>
      </c>
      <c r="D275" s="2">
        <v>1.32057</v>
      </c>
      <c r="F275" s="5">
        <f t="shared" si="8"/>
        <v>0.1336816217241818</v>
      </c>
      <c r="G275" s="5"/>
      <c r="H275" s="5">
        <f t="shared" si="9"/>
        <v>-7.1530739385307299E-3</v>
      </c>
      <c r="I275" s="5"/>
    </row>
    <row r="276" spans="1:9" ht="15.75" customHeight="1" x14ac:dyDescent="0.3">
      <c r="A276" s="1">
        <v>42686</v>
      </c>
      <c r="B276" s="2">
        <v>422.25</v>
      </c>
      <c r="C276" s="2">
        <v>0.75390000000000001</v>
      </c>
      <c r="D276" s="2">
        <v>1.3264400000000001</v>
      </c>
      <c r="F276" s="5">
        <f t="shared" si="8"/>
        <v>-0.1187693262975355</v>
      </c>
      <c r="G276" s="5"/>
      <c r="H276" s="5">
        <f t="shared" si="9"/>
        <v>4.4352001861682564E-3</v>
      </c>
      <c r="I276" s="5"/>
    </row>
    <row r="277" spans="1:9" ht="15.75" customHeight="1" x14ac:dyDescent="0.3">
      <c r="A277" s="1">
        <v>42716</v>
      </c>
      <c r="B277" s="2">
        <v>509</v>
      </c>
      <c r="C277" s="2">
        <v>0.74990000000000001</v>
      </c>
      <c r="D277" s="2">
        <v>1.33351</v>
      </c>
      <c r="F277" s="5">
        <f t="shared" si="8"/>
        <v>0.18685046086261331</v>
      </c>
      <c r="G277" s="5"/>
      <c r="H277" s="5">
        <f t="shared" si="9"/>
        <v>5.315901914804977E-3</v>
      </c>
      <c r="I277" s="5"/>
    </row>
    <row r="278" spans="1:9" ht="15.75" customHeight="1" x14ac:dyDescent="0.3">
      <c r="A278" s="1">
        <v>42747</v>
      </c>
      <c r="B278" s="2">
        <v>510.75</v>
      </c>
      <c r="C278" s="2">
        <v>0.74985000000000002</v>
      </c>
      <c r="D278" s="2">
        <v>1.3335999999999999</v>
      </c>
      <c r="F278" s="5">
        <f t="shared" si="8"/>
        <v>3.4322171472087096E-3</v>
      </c>
      <c r="G278" s="5"/>
      <c r="H278" s="5">
        <f t="shared" si="9"/>
        <v>6.7488780015807128E-5</v>
      </c>
      <c r="I278" s="5"/>
    </row>
    <row r="279" spans="1:9" ht="15.75" customHeight="1" x14ac:dyDescent="0.3">
      <c r="A279" s="1">
        <v>42778</v>
      </c>
      <c r="B279" s="2">
        <v>515</v>
      </c>
      <c r="C279" s="2">
        <v>0.76715</v>
      </c>
      <c r="D279" s="2">
        <v>1.3035300000000001</v>
      </c>
      <c r="F279" s="5">
        <f t="shared" si="8"/>
        <v>8.2866669660046233E-3</v>
      </c>
      <c r="G279" s="5"/>
      <c r="H279" s="5">
        <f t="shared" si="9"/>
        <v>-2.2806083368143968E-2</v>
      </c>
      <c r="I279" s="5"/>
    </row>
    <row r="280" spans="1:9" ht="15.75" customHeight="1" x14ac:dyDescent="0.3">
      <c r="A280" s="1">
        <v>42806</v>
      </c>
      <c r="B280" s="2">
        <v>465.5</v>
      </c>
      <c r="C280" s="2">
        <v>0.754</v>
      </c>
      <c r="D280" s="2">
        <v>1.32626</v>
      </c>
      <c r="F280" s="5">
        <f t="shared" si="8"/>
        <v>-0.10105480394661441</v>
      </c>
      <c r="G280" s="5"/>
      <c r="H280" s="5">
        <f t="shared" si="9"/>
        <v>1.7286981887877088E-2</v>
      </c>
      <c r="I280" s="5"/>
    </row>
    <row r="281" spans="1:9" ht="15.75" customHeight="1" x14ac:dyDescent="0.3">
      <c r="A281" s="1">
        <v>42837</v>
      </c>
      <c r="B281" s="2">
        <v>516.5</v>
      </c>
      <c r="C281" s="2">
        <v>0.74904999999999999</v>
      </c>
      <c r="D281" s="2">
        <v>1.3350200000000001</v>
      </c>
      <c r="F281" s="5">
        <f t="shared" si="8"/>
        <v>0.10396319184257143</v>
      </c>
      <c r="G281" s="5"/>
      <c r="H281" s="5">
        <f t="shared" si="9"/>
        <v>6.5833220392227474E-3</v>
      </c>
      <c r="I281" s="5"/>
    </row>
    <row r="282" spans="1:9" ht="15.75" customHeight="1" x14ac:dyDescent="0.3">
      <c r="A282" s="1">
        <v>42867</v>
      </c>
      <c r="B282" s="2">
        <v>463.75</v>
      </c>
      <c r="C282" s="2">
        <v>0.73960000000000004</v>
      </c>
      <c r="D282" s="2">
        <v>1.3520799999999999</v>
      </c>
      <c r="F282" s="5">
        <f t="shared" si="8"/>
        <v>-0.10772967463804838</v>
      </c>
      <c r="G282" s="5"/>
      <c r="H282" s="5">
        <f t="shared" si="9"/>
        <v>1.2697874454432507E-2</v>
      </c>
      <c r="I282" s="5"/>
    </row>
    <row r="283" spans="1:9" ht="15.75" customHeight="1" x14ac:dyDescent="0.3">
      <c r="A283" s="1">
        <v>42898</v>
      </c>
      <c r="B283" s="2">
        <v>448.25</v>
      </c>
      <c r="C283" s="2">
        <v>0.75434999999999997</v>
      </c>
      <c r="D283" s="2">
        <v>1.3256399999999999</v>
      </c>
      <c r="F283" s="5">
        <f t="shared" si="8"/>
        <v>-3.3994501436402598E-2</v>
      </c>
      <c r="G283" s="5"/>
      <c r="H283" s="5">
        <f t="shared" si="9"/>
        <v>-1.974878577778862E-2</v>
      </c>
      <c r="I283" s="5"/>
    </row>
    <row r="284" spans="1:9" ht="15.75" customHeight="1" x14ac:dyDescent="0.3">
      <c r="A284" s="1">
        <v>42928</v>
      </c>
      <c r="B284" s="2">
        <v>464.75</v>
      </c>
      <c r="C284" s="2">
        <v>0.76744999999999997</v>
      </c>
      <c r="D284" s="2">
        <v>1.3030200000000001</v>
      </c>
      <c r="F284" s="5">
        <f t="shared" si="8"/>
        <v>3.6148514116311148E-2</v>
      </c>
      <c r="G284" s="5"/>
      <c r="H284" s="5">
        <f t="shared" si="9"/>
        <v>-1.7210714470969255E-2</v>
      </c>
      <c r="I284" s="5"/>
    </row>
    <row r="285" spans="1:9" ht="15.75" customHeight="1" x14ac:dyDescent="0.3">
      <c r="A285" s="1">
        <v>42959</v>
      </c>
      <c r="B285" s="2">
        <v>507.75</v>
      </c>
      <c r="C285" s="2">
        <v>0.78734999999999999</v>
      </c>
      <c r="D285" s="2">
        <v>1.2700800000000001</v>
      </c>
      <c r="F285" s="5">
        <f t="shared" si="8"/>
        <v>8.8489573858940587E-2</v>
      </c>
      <c r="G285" s="5"/>
      <c r="H285" s="5">
        <f t="shared" si="9"/>
        <v>-2.5604756606514123E-2</v>
      </c>
      <c r="I285" s="5"/>
    </row>
    <row r="286" spans="1:9" ht="15.75" customHeight="1" x14ac:dyDescent="0.3">
      <c r="A286" s="1">
        <v>42990</v>
      </c>
      <c r="B286" s="2">
        <v>525.25</v>
      </c>
      <c r="C286" s="2">
        <v>0.80345</v>
      </c>
      <c r="D286" s="2">
        <v>1.2446299999999999</v>
      </c>
      <c r="F286" s="5">
        <f t="shared" si="8"/>
        <v>3.3885139264615775E-2</v>
      </c>
      <c r="G286" s="5"/>
      <c r="H286" s="5">
        <f t="shared" si="9"/>
        <v>-2.0241593620242138E-2</v>
      </c>
      <c r="I286" s="5"/>
    </row>
    <row r="287" spans="1:9" ht="15.75" customHeight="1" x14ac:dyDescent="0.3">
      <c r="A287" s="1">
        <v>43020</v>
      </c>
      <c r="B287" s="2">
        <v>531.5</v>
      </c>
      <c r="C287" s="2">
        <v>0.78244999999999998</v>
      </c>
      <c r="D287" s="2">
        <v>1.2780400000000001</v>
      </c>
      <c r="F287" s="5">
        <f t="shared" si="8"/>
        <v>1.1828858056892908E-2</v>
      </c>
      <c r="G287" s="5"/>
      <c r="H287" s="5">
        <f t="shared" si="9"/>
        <v>2.6489357377759627E-2</v>
      </c>
      <c r="I287" s="5"/>
    </row>
    <row r="288" spans="1:9" ht="15.75" customHeight="1" x14ac:dyDescent="0.3">
      <c r="A288" s="1">
        <v>43051</v>
      </c>
      <c r="B288" s="2">
        <v>599.25</v>
      </c>
      <c r="C288" s="2">
        <v>0.76744999999999997</v>
      </c>
      <c r="D288" s="2">
        <v>1.3030200000000001</v>
      </c>
      <c r="F288" s="5">
        <f t="shared" si="8"/>
        <v>0.11997567553249122</v>
      </c>
      <c r="G288" s="5"/>
      <c r="H288" s="5">
        <f t="shared" si="9"/>
        <v>1.9356992848996703E-2</v>
      </c>
      <c r="I288" s="5"/>
    </row>
    <row r="289" spans="1:9" ht="15.75" customHeight="1" x14ac:dyDescent="0.3">
      <c r="A289" s="1">
        <v>43081</v>
      </c>
      <c r="B289" s="2">
        <v>598.75</v>
      </c>
      <c r="C289" s="2">
        <v>0.75514999999999999</v>
      </c>
      <c r="D289" s="2">
        <v>1.3242400000000001</v>
      </c>
      <c r="F289" s="5">
        <f t="shared" si="8"/>
        <v>-8.3472458936874338E-4</v>
      </c>
      <c r="G289" s="5"/>
      <c r="H289" s="5">
        <f t="shared" si="9"/>
        <v>1.6154062750695405E-2</v>
      </c>
      <c r="I289" s="5"/>
    </row>
    <row r="290" spans="1:9" ht="15.75" customHeight="1" x14ac:dyDescent="0.3">
      <c r="A290" s="1">
        <v>43112</v>
      </c>
      <c r="B290" s="2">
        <v>640.75</v>
      </c>
      <c r="C290" s="2">
        <v>0.78905000000000003</v>
      </c>
      <c r="D290" s="2">
        <v>1.26735</v>
      </c>
      <c r="F290" s="5">
        <f t="shared" si="8"/>
        <v>6.7795216519055596E-2</v>
      </c>
      <c r="G290" s="5"/>
      <c r="H290" s="5">
        <f t="shared" si="9"/>
        <v>-4.3910603684946641E-2</v>
      </c>
      <c r="I290" s="5"/>
    </row>
    <row r="291" spans="1:9" ht="15.75" customHeight="1" x14ac:dyDescent="0.3">
      <c r="A291" s="1">
        <v>43143</v>
      </c>
      <c r="B291" s="2">
        <v>597</v>
      </c>
      <c r="C291" s="2">
        <v>0.78259999999999996</v>
      </c>
      <c r="D291" s="2">
        <v>1.27779</v>
      </c>
      <c r="F291" s="5">
        <f t="shared" si="8"/>
        <v>-7.0722251851578405E-2</v>
      </c>
      <c r="G291" s="5"/>
      <c r="H291" s="5">
        <f t="shared" si="9"/>
        <v>8.2039169198033553E-3</v>
      </c>
      <c r="I291" s="5"/>
    </row>
    <row r="292" spans="1:9" ht="15.75" customHeight="1" x14ac:dyDescent="0.3">
      <c r="A292" s="1">
        <v>43171</v>
      </c>
      <c r="B292" s="2">
        <v>606.5</v>
      </c>
      <c r="C292" s="2">
        <v>0.78634999999999999</v>
      </c>
      <c r="D292" s="2">
        <v>1.2717000000000001</v>
      </c>
      <c r="F292" s="5">
        <f t="shared" si="8"/>
        <v>1.5787614991502819E-2</v>
      </c>
      <c r="G292" s="5"/>
      <c r="H292" s="5">
        <f t="shared" si="9"/>
        <v>-4.7774351600658052E-3</v>
      </c>
      <c r="I292" s="5"/>
    </row>
    <row r="293" spans="1:9" ht="15.75" customHeight="1" x14ac:dyDescent="0.3">
      <c r="A293" s="1">
        <v>43202</v>
      </c>
      <c r="B293" s="2">
        <v>680.75</v>
      </c>
      <c r="C293" s="2">
        <v>0.77590000000000003</v>
      </c>
      <c r="D293" s="2">
        <v>1.2888299999999999</v>
      </c>
      <c r="F293" s="5">
        <f t="shared" si="8"/>
        <v>0.11549040316976418</v>
      </c>
      <c r="G293" s="5"/>
      <c r="H293" s="5">
        <f t="shared" si="9"/>
        <v>1.3380242032558828E-2</v>
      </c>
      <c r="I293" s="5"/>
    </row>
    <row r="294" spans="1:9" ht="15.75" customHeight="1" x14ac:dyDescent="0.3">
      <c r="A294" s="1">
        <v>43232</v>
      </c>
      <c r="B294" s="2">
        <v>712.75</v>
      </c>
      <c r="C294" s="2">
        <v>0.75455000000000005</v>
      </c>
      <c r="D294" s="2">
        <v>1.3252900000000001</v>
      </c>
      <c r="F294" s="5">
        <f t="shared" si="8"/>
        <v>4.5935596238912295E-2</v>
      </c>
      <c r="G294" s="5"/>
      <c r="H294" s="5">
        <f t="shared" si="9"/>
        <v>2.78964733375009E-2</v>
      </c>
      <c r="I294" s="5"/>
    </row>
    <row r="295" spans="1:9" ht="15.75" customHeight="1" x14ac:dyDescent="0.3">
      <c r="A295" s="1">
        <v>43263</v>
      </c>
      <c r="B295" s="2">
        <v>700.75</v>
      </c>
      <c r="C295" s="2">
        <v>0.76134999999999997</v>
      </c>
      <c r="D295" s="2">
        <v>1.3134600000000001</v>
      </c>
      <c r="F295" s="5">
        <f t="shared" si="8"/>
        <v>-1.6979537747883681E-2</v>
      </c>
      <c r="G295" s="5"/>
      <c r="H295" s="5">
        <f t="shared" si="9"/>
        <v>-8.9664267230675412E-3</v>
      </c>
      <c r="I295" s="5"/>
    </row>
    <row r="296" spans="1:9" ht="15.75" customHeight="1" x14ac:dyDescent="0.3">
      <c r="A296" s="1">
        <v>43293</v>
      </c>
      <c r="B296" s="2">
        <v>676</v>
      </c>
      <c r="C296" s="2">
        <v>0.74029999999999996</v>
      </c>
      <c r="D296" s="2">
        <v>1.3508</v>
      </c>
      <c r="F296" s="5">
        <f t="shared" si="8"/>
        <v>-3.5958114001933592E-2</v>
      </c>
      <c r="G296" s="5"/>
      <c r="H296" s="5">
        <f t="shared" si="9"/>
        <v>2.8032132837719163E-2</v>
      </c>
      <c r="I296" s="5"/>
    </row>
    <row r="297" spans="1:9" ht="15.75" customHeight="1" x14ac:dyDescent="0.3">
      <c r="A297" s="1">
        <v>43324</v>
      </c>
      <c r="B297" s="2">
        <v>671.25</v>
      </c>
      <c r="C297" s="2">
        <v>0.73204999999999998</v>
      </c>
      <c r="D297" s="2">
        <v>1.3660300000000001</v>
      </c>
      <c r="F297" s="5">
        <f t="shared" si="8"/>
        <v>-7.0514302198896135E-3</v>
      </c>
      <c r="G297" s="5"/>
      <c r="H297" s="5">
        <f t="shared" si="9"/>
        <v>1.1211713310813165E-2</v>
      </c>
      <c r="I297" s="5"/>
    </row>
    <row r="298" spans="1:9" ht="15.75" customHeight="1" x14ac:dyDescent="0.3">
      <c r="A298" s="1">
        <v>43355</v>
      </c>
      <c r="B298" s="2">
        <v>708.75</v>
      </c>
      <c r="C298" s="2">
        <v>0.71375</v>
      </c>
      <c r="D298" s="2">
        <v>1.4010499999999999</v>
      </c>
      <c r="F298" s="5">
        <f t="shared" si="8"/>
        <v>5.436120921888743E-2</v>
      </c>
      <c r="G298" s="5"/>
      <c r="H298" s="5">
        <f t="shared" si="9"/>
        <v>2.5313232671670152E-2</v>
      </c>
      <c r="I298" s="5"/>
    </row>
    <row r="299" spans="1:9" ht="15.75" customHeight="1" x14ac:dyDescent="0.3">
      <c r="A299" s="1">
        <v>43385</v>
      </c>
      <c r="B299" s="2">
        <v>744</v>
      </c>
      <c r="C299" s="2">
        <v>0.71165</v>
      </c>
      <c r="D299" s="2">
        <v>1.4051899999999999</v>
      </c>
      <c r="F299" s="5">
        <f t="shared" si="8"/>
        <v>4.853817979112994E-2</v>
      </c>
      <c r="G299" s="5"/>
      <c r="H299" s="5">
        <f t="shared" si="9"/>
        <v>2.9505694477459463E-3</v>
      </c>
      <c r="I299" s="5"/>
    </row>
    <row r="300" spans="1:9" ht="15.75" customHeight="1" x14ac:dyDescent="0.3">
      <c r="A300" s="1">
        <v>43416</v>
      </c>
      <c r="B300" s="2">
        <v>692.25</v>
      </c>
      <c r="C300" s="2">
        <v>0.72024999999999995</v>
      </c>
      <c r="D300" s="2">
        <v>1.3884099999999999</v>
      </c>
      <c r="F300" s="5">
        <f t="shared" si="8"/>
        <v>-7.209387278202066E-2</v>
      </c>
      <c r="G300" s="5"/>
      <c r="H300" s="5">
        <f t="shared" si="9"/>
        <v>-1.2013317444656373E-2</v>
      </c>
      <c r="I300" s="5"/>
    </row>
    <row r="301" spans="1:9" ht="15.75" customHeight="1" x14ac:dyDescent="0.3">
      <c r="A301" s="1">
        <v>43446</v>
      </c>
      <c r="B301" s="2">
        <v>597.75</v>
      </c>
      <c r="C301" s="2">
        <v>0.72275</v>
      </c>
      <c r="D301" s="2">
        <v>1.3835999999999999</v>
      </c>
      <c r="F301" s="5">
        <f t="shared" si="8"/>
        <v>-0.14677455571263712</v>
      </c>
      <c r="G301" s="5"/>
      <c r="H301" s="5">
        <f t="shared" si="9"/>
        <v>-3.4704094339717789E-3</v>
      </c>
      <c r="I301" s="5"/>
    </row>
    <row r="302" spans="1:9" ht="15.75" customHeight="1" x14ac:dyDescent="0.3">
      <c r="A302" s="1">
        <v>43477</v>
      </c>
      <c r="B302" s="2">
        <v>591.25</v>
      </c>
      <c r="C302" s="2">
        <v>0.72004999999999997</v>
      </c>
      <c r="D302" s="2">
        <v>1.38879</v>
      </c>
      <c r="F302" s="5">
        <f t="shared" si="8"/>
        <v>-1.093366653229144E-2</v>
      </c>
      <c r="G302" s="5"/>
      <c r="H302" s="5">
        <f t="shared" si="9"/>
        <v>3.7440663563191199E-3</v>
      </c>
      <c r="I302" s="5"/>
    </row>
    <row r="303" spans="1:9" ht="15.75" customHeight="1" x14ac:dyDescent="0.3">
      <c r="A303" s="1">
        <v>43508</v>
      </c>
      <c r="B303" s="2">
        <v>601.5</v>
      </c>
      <c r="C303" s="2">
        <v>0.70904999999999996</v>
      </c>
      <c r="D303" s="2">
        <v>1.4103399999999999</v>
      </c>
      <c r="F303" s="5">
        <f t="shared" si="8"/>
        <v>1.7187595608590862E-2</v>
      </c>
      <c r="G303" s="5"/>
      <c r="H303" s="5">
        <f t="shared" si="9"/>
        <v>1.539794563634282E-2</v>
      </c>
      <c r="I303" s="5"/>
    </row>
    <row r="304" spans="1:9" ht="15.75" customHeight="1" x14ac:dyDescent="0.3">
      <c r="A304" s="1">
        <v>43536</v>
      </c>
      <c r="B304" s="2">
        <v>623.75</v>
      </c>
      <c r="C304" s="2">
        <v>0.70809999999999995</v>
      </c>
      <c r="D304" s="2">
        <v>1.4122300000000001</v>
      </c>
      <c r="F304" s="5">
        <f t="shared" si="8"/>
        <v>3.6323111650994791E-2</v>
      </c>
      <c r="G304" s="5"/>
      <c r="H304" s="5">
        <f t="shared" si="9"/>
        <v>1.339205250868338E-3</v>
      </c>
      <c r="I304" s="5"/>
    </row>
    <row r="305" spans="1:9" ht="15.75" customHeight="1" x14ac:dyDescent="0.3">
      <c r="A305" s="1">
        <v>43567</v>
      </c>
      <c r="B305" s="2">
        <v>639.75</v>
      </c>
      <c r="C305" s="2">
        <v>0.71779999999999999</v>
      </c>
      <c r="D305" s="2">
        <v>1.3931500000000001</v>
      </c>
      <c r="F305" s="5">
        <f t="shared" si="8"/>
        <v>2.5327827974169666E-2</v>
      </c>
      <c r="G305" s="5"/>
      <c r="H305" s="5">
        <f t="shared" si="9"/>
        <v>-1.3602645060489034E-2</v>
      </c>
      <c r="I305" s="5"/>
    </row>
    <row r="306" spans="1:9" ht="15.75" customHeight="1" x14ac:dyDescent="0.3">
      <c r="A306" s="1">
        <v>43597</v>
      </c>
      <c r="B306" s="2">
        <v>652</v>
      </c>
      <c r="C306" s="2">
        <v>0.69955000000000001</v>
      </c>
      <c r="D306" s="2">
        <v>1.4294899999999999</v>
      </c>
      <c r="F306" s="5">
        <f t="shared" si="8"/>
        <v>1.8967086886754671E-2</v>
      </c>
      <c r="G306" s="5"/>
      <c r="H306" s="5">
        <f t="shared" si="9"/>
        <v>2.5750367038887761E-2</v>
      </c>
      <c r="I306" s="5"/>
    </row>
    <row r="307" spans="1:9" ht="15.75" customHeight="1" x14ac:dyDescent="0.3">
      <c r="A307" s="1">
        <v>43628</v>
      </c>
      <c r="B307" s="2">
        <v>572.25</v>
      </c>
      <c r="C307" s="2">
        <v>0.69484999999999997</v>
      </c>
      <c r="D307" s="2">
        <v>1.43916</v>
      </c>
      <c r="F307" s="5">
        <f t="shared" si="8"/>
        <v>-0.13046860309397687</v>
      </c>
      <c r="G307" s="5"/>
      <c r="H307" s="5">
        <f t="shared" si="9"/>
        <v>6.741872746687437E-3</v>
      </c>
      <c r="I307" s="5"/>
    </row>
    <row r="308" spans="1:9" ht="15.75" customHeight="1" x14ac:dyDescent="0.3">
      <c r="A308" s="1">
        <v>43658</v>
      </c>
      <c r="B308" s="2">
        <v>633</v>
      </c>
      <c r="C308" s="2">
        <v>0.70055000000000001</v>
      </c>
      <c r="D308" s="2">
        <v>1.4274500000000001</v>
      </c>
      <c r="F308" s="5">
        <f t="shared" si="8"/>
        <v>0.10089446331150005</v>
      </c>
      <c r="G308" s="5"/>
      <c r="H308" s="5">
        <f t="shared" si="9"/>
        <v>-8.1699743846010506E-3</v>
      </c>
      <c r="I308" s="5"/>
    </row>
    <row r="309" spans="1:9" ht="15.75" customHeight="1" x14ac:dyDescent="0.3">
      <c r="A309" s="1">
        <v>43689</v>
      </c>
      <c r="B309" s="2">
        <v>583.5</v>
      </c>
      <c r="C309" s="2">
        <v>0.67595000000000005</v>
      </c>
      <c r="D309" s="2">
        <v>1.4794</v>
      </c>
      <c r="F309" s="5">
        <f t="shared" si="8"/>
        <v>-8.1425970417565482E-2</v>
      </c>
      <c r="G309" s="5"/>
      <c r="H309" s="5">
        <f t="shared" si="9"/>
        <v>3.57469645067384E-2</v>
      </c>
      <c r="I309" s="5"/>
    </row>
    <row r="310" spans="1:9" ht="15.75" customHeight="1" x14ac:dyDescent="0.3">
      <c r="A310" s="1">
        <v>43720</v>
      </c>
      <c r="B310" s="2">
        <v>602</v>
      </c>
      <c r="C310" s="2">
        <v>0.68754999999999999</v>
      </c>
      <c r="D310" s="2">
        <v>1.45444</v>
      </c>
      <c r="F310" s="5">
        <f t="shared" si="8"/>
        <v>3.1212993582210271E-2</v>
      </c>
      <c r="G310" s="5"/>
      <c r="H310" s="5">
        <f t="shared" si="9"/>
        <v>-1.7015653358471581E-2</v>
      </c>
      <c r="I310" s="5"/>
    </row>
    <row r="311" spans="1:9" ht="15.75" customHeight="1" x14ac:dyDescent="0.3">
      <c r="A311" s="1">
        <v>43750</v>
      </c>
      <c r="B311" s="2">
        <v>620.75</v>
      </c>
      <c r="C311" s="2">
        <v>0.67954999999999999</v>
      </c>
      <c r="D311" s="2">
        <v>1.47156</v>
      </c>
      <c r="F311" s="5">
        <f t="shared" si="8"/>
        <v>3.0670979079454975E-2</v>
      </c>
      <c r="G311" s="5"/>
      <c r="H311" s="5">
        <f t="shared" si="9"/>
        <v>1.1702115766639282E-2</v>
      </c>
      <c r="I311" s="5"/>
    </row>
    <row r="312" spans="1:9" ht="15.75" customHeight="1" x14ac:dyDescent="0.3">
      <c r="A312" s="1">
        <v>43781</v>
      </c>
      <c r="B312" s="2">
        <v>601.25</v>
      </c>
      <c r="C312" s="2">
        <v>0.68425000000000002</v>
      </c>
      <c r="D312" s="2">
        <v>1.4614499999999999</v>
      </c>
      <c r="F312" s="5">
        <f t="shared" si="8"/>
        <v>-3.1917602968305085E-2</v>
      </c>
      <c r="G312" s="5"/>
      <c r="H312" s="5">
        <f t="shared" si="9"/>
        <v>-6.8939690224751292E-3</v>
      </c>
      <c r="I312" s="5"/>
    </row>
    <row r="313" spans="1:9" ht="15.75" customHeight="1" x14ac:dyDescent="0.3">
      <c r="A313" s="1">
        <v>43811</v>
      </c>
      <c r="B313" s="2">
        <v>589.25</v>
      </c>
      <c r="C313" s="2">
        <v>0.69005000000000005</v>
      </c>
      <c r="D313" s="2">
        <v>1.4491700000000001</v>
      </c>
      <c r="F313" s="5">
        <f t="shared" si="8"/>
        <v>-2.0160279603730444E-2</v>
      </c>
      <c r="G313" s="5"/>
      <c r="H313" s="5">
        <f t="shared" si="9"/>
        <v>-8.4381148092639024E-3</v>
      </c>
      <c r="I313" s="5"/>
    </row>
    <row r="314" spans="1:9" ht="15.75" customHeight="1" x14ac:dyDescent="0.3">
      <c r="A314" s="1">
        <v>43842</v>
      </c>
      <c r="B314" s="2">
        <v>602.5</v>
      </c>
      <c r="C314" s="2">
        <v>0.69055</v>
      </c>
      <c r="D314" s="2">
        <v>1.4481200000000001</v>
      </c>
      <c r="F314" s="5">
        <f t="shared" si="8"/>
        <v>2.2237123548569521E-2</v>
      </c>
      <c r="G314" s="5"/>
      <c r="H314" s="5">
        <f t="shared" si="9"/>
        <v>-7.2481529012891771E-4</v>
      </c>
      <c r="I314" s="5"/>
    </row>
    <row r="315" spans="1:9" ht="15.75" customHeight="1" x14ac:dyDescent="0.3">
      <c r="A315" s="1">
        <v>43873</v>
      </c>
      <c r="B315" s="2">
        <v>510</v>
      </c>
      <c r="C315" s="2">
        <v>0.67454999999999998</v>
      </c>
      <c r="D315" s="2">
        <v>1.48247</v>
      </c>
      <c r="F315" s="5">
        <f t="shared" si="8"/>
        <v>-0.16667693964643862</v>
      </c>
      <c r="G315" s="5"/>
      <c r="H315" s="5">
        <f t="shared" si="9"/>
        <v>2.3443452139371317E-2</v>
      </c>
      <c r="I315" s="5"/>
    </row>
    <row r="316" spans="1:9" ht="15.75" customHeight="1" x14ac:dyDescent="0.3">
      <c r="A316" s="1">
        <v>43902</v>
      </c>
      <c r="B316" s="2">
        <v>325.5</v>
      </c>
      <c r="C316" s="2">
        <v>0.62795000000000001</v>
      </c>
      <c r="D316" s="2">
        <v>1.5924799999999999</v>
      </c>
      <c r="F316" s="5">
        <f t="shared" si="8"/>
        <v>-0.44904826406974757</v>
      </c>
      <c r="G316" s="5"/>
      <c r="H316" s="5">
        <f t="shared" si="9"/>
        <v>7.1582933918314856E-2</v>
      </c>
      <c r="I316" s="5"/>
    </row>
    <row r="317" spans="1:9" ht="15.75" customHeight="1" x14ac:dyDescent="0.3">
      <c r="A317" s="1">
        <v>43933</v>
      </c>
      <c r="B317" s="2">
        <v>186.75</v>
      </c>
      <c r="C317" s="2">
        <v>0.63085000000000002</v>
      </c>
      <c r="D317" s="2">
        <v>1.5851599999999999</v>
      </c>
      <c r="F317" s="5">
        <f t="shared" si="8"/>
        <v>-0.55559163763569719</v>
      </c>
      <c r="G317" s="5"/>
      <c r="H317" s="5">
        <f t="shared" si="9"/>
        <v>-4.6072009088748457E-3</v>
      </c>
      <c r="I317" s="5"/>
    </row>
    <row r="318" spans="1:9" ht="15.75" customHeight="1" x14ac:dyDescent="0.3">
      <c r="A318" s="1">
        <v>43963</v>
      </c>
      <c r="B318" s="2">
        <v>166</v>
      </c>
      <c r="C318" s="2">
        <v>0.65185000000000004</v>
      </c>
      <c r="D318" s="2">
        <v>1.5341</v>
      </c>
      <c r="F318" s="5">
        <f t="shared" si="8"/>
        <v>-0.11778303565638351</v>
      </c>
      <c r="G318" s="5"/>
      <c r="H318" s="5">
        <f t="shared" si="9"/>
        <v>-3.2741458738150722E-2</v>
      </c>
      <c r="I318" s="5"/>
    </row>
    <row r="319" spans="1:9" ht="15.75" customHeight="1" x14ac:dyDescent="0.3">
      <c r="A319" s="1">
        <v>43994</v>
      </c>
      <c r="B319" s="2">
        <v>299.25</v>
      </c>
      <c r="C319" s="2">
        <v>0.68405000000000005</v>
      </c>
      <c r="D319" s="2">
        <v>1.4618800000000001</v>
      </c>
      <c r="F319" s="5">
        <f t="shared" si="8"/>
        <v>0.58929155608153927</v>
      </c>
      <c r="G319" s="5"/>
      <c r="H319" s="5">
        <f t="shared" si="9"/>
        <v>-4.8220611253062755E-2</v>
      </c>
      <c r="I319" s="5"/>
    </row>
    <row r="320" spans="1:9" ht="15.75" customHeight="1" x14ac:dyDescent="0.3">
      <c r="A320" s="1">
        <v>44024</v>
      </c>
      <c r="B320" s="2">
        <v>328.5</v>
      </c>
      <c r="C320" s="2">
        <v>0.69589999999999996</v>
      </c>
      <c r="D320" s="2">
        <v>1.43699</v>
      </c>
      <c r="F320" s="5">
        <f t="shared" si="8"/>
        <v>9.3257493486582715E-2</v>
      </c>
      <c r="G320" s="5"/>
      <c r="H320" s="5">
        <f t="shared" si="9"/>
        <v>-1.7172630485094403E-2</v>
      </c>
      <c r="I320" s="5"/>
    </row>
    <row r="321" spans="1:9" ht="15.75" customHeight="1" x14ac:dyDescent="0.3">
      <c r="A321" s="1">
        <v>44055</v>
      </c>
      <c r="B321" s="2">
        <v>339.25</v>
      </c>
      <c r="C321" s="2">
        <v>0.71725000000000005</v>
      </c>
      <c r="D321" s="2">
        <v>1.3942099999999999</v>
      </c>
      <c r="F321" s="5">
        <f t="shared" si="8"/>
        <v>3.2200460790313398E-2</v>
      </c>
      <c r="G321" s="5"/>
      <c r="H321" s="5">
        <f t="shared" si="9"/>
        <v>-3.0222701513910676E-2</v>
      </c>
      <c r="I321" s="5"/>
    </row>
    <row r="322" spans="1:9" ht="15.75" customHeight="1" x14ac:dyDescent="0.3">
      <c r="A322" s="1">
        <v>44086</v>
      </c>
      <c r="B322" s="2">
        <v>279</v>
      </c>
      <c r="C322" s="2">
        <v>0.72775000000000001</v>
      </c>
      <c r="D322" s="2">
        <v>1.3741000000000001</v>
      </c>
      <c r="F322" s="5">
        <f t="shared" si="8"/>
        <v>-0.19552551689361297</v>
      </c>
      <c r="G322" s="5"/>
      <c r="H322" s="5">
        <f t="shared" si="9"/>
        <v>-1.4528975260931117E-2</v>
      </c>
      <c r="I322" s="5"/>
    </row>
    <row r="323" spans="1:9" ht="15.75" customHeight="1" x14ac:dyDescent="0.3">
      <c r="A323" s="1">
        <v>44116</v>
      </c>
      <c r="B323" s="2">
        <v>327.25</v>
      </c>
      <c r="C323" s="2">
        <v>0.72124999999999995</v>
      </c>
      <c r="D323" s="2">
        <v>1.3864799999999999</v>
      </c>
      <c r="F323" s="5">
        <f t="shared" si="8"/>
        <v>0.15951262296864369</v>
      </c>
      <c r="G323" s="5"/>
      <c r="H323" s="5">
        <f t="shared" si="9"/>
        <v>8.9691898033909447E-3</v>
      </c>
      <c r="I323" s="5"/>
    </row>
    <row r="324" spans="1:9" ht="15.75" customHeight="1" x14ac:dyDescent="0.3">
      <c r="A324" s="1">
        <v>44147</v>
      </c>
      <c r="B324" s="2">
        <v>353.25</v>
      </c>
      <c r="C324" s="2">
        <v>0.72629999999999995</v>
      </c>
      <c r="D324" s="2">
        <v>1.3768400000000001</v>
      </c>
      <c r="F324" s="5">
        <f t="shared" si="8"/>
        <v>7.6451616774627515E-2</v>
      </c>
      <c r="G324" s="5"/>
      <c r="H324" s="5">
        <f t="shared" si="9"/>
        <v>-6.9771427895819341E-3</v>
      </c>
      <c r="I324" s="5"/>
    </row>
    <row r="325" spans="1:9" ht="15.75" customHeight="1" x14ac:dyDescent="0.3">
      <c r="A325" s="1">
        <v>44177</v>
      </c>
      <c r="B325" s="2">
        <v>407.5</v>
      </c>
      <c r="C325" s="2">
        <v>0.75349999999999995</v>
      </c>
      <c r="D325" s="2">
        <v>1.32714</v>
      </c>
      <c r="F325" s="5">
        <f t="shared" ref="F325:F329" si="10">LN(B325/B324)</f>
        <v>0.14286491111628061</v>
      </c>
      <c r="G325" s="5"/>
      <c r="H325" s="5">
        <f t="shared" ref="H325:H329" si="11">LN(D325/D324)</f>
        <v>-3.6764767453813962E-2</v>
      </c>
      <c r="I325" s="5"/>
    </row>
    <row r="326" spans="1:9" ht="15.75" customHeight="1" x14ac:dyDescent="0.3">
      <c r="A326" s="1">
        <v>44208</v>
      </c>
      <c r="B326" s="2">
        <v>470.5</v>
      </c>
      <c r="C326" s="2">
        <v>0.77264999999999995</v>
      </c>
      <c r="D326" s="2">
        <v>1.2942499999999999</v>
      </c>
      <c r="F326" s="5">
        <f t="shared" si="10"/>
        <v>0.14375502634451692</v>
      </c>
      <c r="G326" s="5"/>
      <c r="H326" s="5">
        <f t="shared" si="11"/>
        <v>-2.509487411571323E-2</v>
      </c>
      <c r="I326" s="5"/>
    </row>
    <row r="327" spans="1:9" ht="15.75" customHeight="1" x14ac:dyDescent="0.3">
      <c r="A327" s="1">
        <v>44239</v>
      </c>
      <c r="B327" s="2">
        <v>509.75</v>
      </c>
      <c r="C327" s="2">
        <v>0.77505000000000002</v>
      </c>
      <c r="D327" s="2">
        <v>1.2902400000000001</v>
      </c>
      <c r="F327" s="5">
        <f t="shared" si="10"/>
        <v>8.012445042913019E-2</v>
      </c>
      <c r="G327" s="5"/>
      <c r="H327" s="5">
        <f t="shared" si="11"/>
        <v>-3.1031292191708716E-3</v>
      </c>
      <c r="I327" s="5"/>
    </row>
    <row r="328" spans="1:9" ht="15.75" customHeight="1" x14ac:dyDescent="0.3">
      <c r="A328" s="1">
        <v>44267</v>
      </c>
      <c r="B328" s="2">
        <v>551.5</v>
      </c>
      <c r="C328" s="2">
        <v>0.77495000000000003</v>
      </c>
      <c r="D328" s="2">
        <v>1.2904100000000001</v>
      </c>
      <c r="F328" s="5">
        <f t="shared" si="10"/>
        <v>7.8721429238992516E-2</v>
      </c>
      <c r="G328" s="5"/>
      <c r="H328" s="5">
        <f t="shared" si="11"/>
        <v>1.3174975315987023E-4</v>
      </c>
      <c r="I328" s="5"/>
    </row>
    <row r="329" spans="1:9" ht="15.75" customHeight="1" x14ac:dyDescent="0.3">
      <c r="A329" s="1">
        <v>44298</v>
      </c>
      <c r="B329" s="2">
        <v>510.75</v>
      </c>
      <c r="C329" s="2">
        <v>0.76224999999999998</v>
      </c>
      <c r="D329" s="2">
        <v>1.3119099999999999</v>
      </c>
      <c r="F329" s="5">
        <f t="shared" si="10"/>
        <v>-7.6761604995825683E-2</v>
      </c>
      <c r="G329" s="5"/>
      <c r="H329" s="5">
        <f t="shared" si="11"/>
        <v>1.6524093274138743E-2</v>
      </c>
      <c r="I329" s="5"/>
    </row>
    <row r="330" spans="1:9" ht="15.75" customHeight="1" x14ac:dyDescent="0.3"/>
    <row r="331" spans="1:9" ht="15.75" customHeight="1" x14ac:dyDescent="0.3">
      <c r="A331" s="5"/>
      <c r="B331" s="5"/>
    </row>
    <row r="332" spans="1:9" ht="15.75" customHeight="1" x14ac:dyDescent="0.3">
      <c r="A332" s="5"/>
      <c r="B332" s="5"/>
    </row>
    <row r="333" spans="1:9" ht="15.75" customHeight="1" x14ac:dyDescent="0.3">
      <c r="A333" s="5"/>
      <c r="B333" s="5"/>
    </row>
    <row r="334" spans="1:9" ht="15.75" customHeight="1" x14ac:dyDescent="0.3">
      <c r="A334" s="5"/>
      <c r="B334" s="5"/>
    </row>
    <row r="335" spans="1:9" ht="15.75" customHeight="1" x14ac:dyDescent="0.3">
      <c r="A335" s="5"/>
      <c r="B335" s="5"/>
    </row>
    <row r="336" spans="1: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66">
    <mergeCell ref="L6:M6"/>
    <mergeCell ref="L7:M7"/>
    <mergeCell ref="L8:M8"/>
    <mergeCell ref="L9:M9"/>
    <mergeCell ref="L10:M10"/>
    <mergeCell ref="F11:G11"/>
    <mergeCell ref="F12:G12"/>
    <mergeCell ref="F13:G13"/>
    <mergeCell ref="F14:G14"/>
    <mergeCell ref="F15:G15"/>
    <mergeCell ref="F16:G16"/>
    <mergeCell ref="A331:B331"/>
    <mergeCell ref="F3:G3"/>
    <mergeCell ref="F4:G4"/>
    <mergeCell ref="F5:G5"/>
    <mergeCell ref="F6:G6"/>
    <mergeCell ref="F7:G7"/>
    <mergeCell ref="F8:G8"/>
    <mergeCell ref="F9:G9"/>
    <mergeCell ref="F10:G10"/>
    <mergeCell ref="F23:G23"/>
    <mergeCell ref="F24:G24"/>
    <mergeCell ref="F25:G25"/>
    <mergeCell ref="F26:G26"/>
    <mergeCell ref="F27:G27"/>
    <mergeCell ref="F28:G28"/>
    <mergeCell ref="F17:G17"/>
    <mergeCell ref="F18:G18"/>
    <mergeCell ref="F19:G19"/>
    <mergeCell ref="F20:G20"/>
    <mergeCell ref="F21:G21"/>
    <mergeCell ref="F22:G22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F33:G33"/>
    <mergeCell ref="F34:G34"/>
    <mergeCell ref="F47:G47"/>
    <mergeCell ref="F48:G48"/>
    <mergeCell ref="F49:G49"/>
    <mergeCell ref="F50:G50"/>
    <mergeCell ref="F51:G51"/>
    <mergeCell ref="F52:G52"/>
    <mergeCell ref="F41:G41"/>
    <mergeCell ref="F42:G42"/>
    <mergeCell ref="F43:G43"/>
    <mergeCell ref="F44:G44"/>
    <mergeCell ref="F45:G45"/>
    <mergeCell ref="F46:G46"/>
    <mergeCell ref="F59:G59"/>
    <mergeCell ref="F60:G60"/>
    <mergeCell ref="F61:G61"/>
    <mergeCell ref="F62:G62"/>
    <mergeCell ref="F63:G63"/>
    <mergeCell ref="F64:G64"/>
    <mergeCell ref="F53:G53"/>
    <mergeCell ref="F54:G54"/>
    <mergeCell ref="F55:G55"/>
    <mergeCell ref="F56:G56"/>
    <mergeCell ref="F57:G57"/>
    <mergeCell ref="F58:G58"/>
    <mergeCell ref="F71:G71"/>
    <mergeCell ref="F72:G72"/>
    <mergeCell ref="F73:G73"/>
    <mergeCell ref="F74:G74"/>
    <mergeCell ref="F75:G75"/>
    <mergeCell ref="F76:G76"/>
    <mergeCell ref="F65:G65"/>
    <mergeCell ref="F66:G66"/>
    <mergeCell ref="F67:G67"/>
    <mergeCell ref="F68:G68"/>
    <mergeCell ref="F69:G69"/>
    <mergeCell ref="F70:G70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107:G107"/>
    <mergeCell ref="F108:G108"/>
    <mergeCell ref="F109:G109"/>
    <mergeCell ref="F110:G110"/>
    <mergeCell ref="F111:G111"/>
    <mergeCell ref="F112:G112"/>
    <mergeCell ref="F101:G101"/>
    <mergeCell ref="F102:G102"/>
    <mergeCell ref="F103:G103"/>
    <mergeCell ref="F104:G104"/>
    <mergeCell ref="F105:G105"/>
    <mergeCell ref="F106:G106"/>
    <mergeCell ref="F119:G119"/>
    <mergeCell ref="F120:G120"/>
    <mergeCell ref="F121:G121"/>
    <mergeCell ref="F122:G122"/>
    <mergeCell ref="F123:G123"/>
    <mergeCell ref="F124:G124"/>
    <mergeCell ref="F113:G113"/>
    <mergeCell ref="F114:G114"/>
    <mergeCell ref="F115:G115"/>
    <mergeCell ref="F116:G116"/>
    <mergeCell ref="F117:G117"/>
    <mergeCell ref="F118:G118"/>
    <mergeCell ref="F131:G131"/>
    <mergeCell ref="F132:G132"/>
    <mergeCell ref="F133:G133"/>
    <mergeCell ref="F134:G134"/>
    <mergeCell ref="F135:G135"/>
    <mergeCell ref="F136:G136"/>
    <mergeCell ref="F125:G125"/>
    <mergeCell ref="F126:G126"/>
    <mergeCell ref="F127:G127"/>
    <mergeCell ref="F128:G128"/>
    <mergeCell ref="F129:G129"/>
    <mergeCell ref="F130:G130"/>
    <mergeCell ref="F143:G143"/>
    <mergeCell ref="F144:G144"/>
    <mergeCell ref="F145:G145"/>
    <mergeCell ref="F146:G146"/>
    <mergeCell ref="F147:G147"/>
    <mergeCell ref="F148:G148"/>
    <mergeCell ref="F137:G137"/>
    <mergeCell ref="F138:G138"/>
    <mergeCell ref="F139:G139"/>
    <mergeCell ref="F140:G140"/>
    <mergeCell ref="F141:G141"/>
    <mergeCell ref="F142:G142"/>
    <mergeCell ref="F155:G155"/>
    <mergeCell ref="F156:G156"/>
    <mergeCell ref="F157:G157"/>
    <mergeCell ref="F158:G158"/>
    <mergeCell ref="F159:G159"/>
    <mergeCell ref="F160:G160"/>
    <mergeCell ref="F149:G149"/>
    <mergeCell ref="F150:G150"/>
    <mergeCell ref="F151:G151"/>
    <mergeCell ref="F152:G152"/>
    <mergeCell ref="F153:G153"/>
    <mergeCell ref="F154:G154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F179:G179"/>
    <mergeCell ref="F180:G180"/>
    <mergeCell ref="F181:G181"/>
    <mergeCell ref="F182:G182"/>
    <mergeCell ref="F183:G183"/>
    <mergeCell ref="F184:G184"/>
    <mergeCell ref="F173:G173"/>
    <mergeCell ref="F174:G174"/>
    <mergeCell ref="F175:G175"/>
    <mergeCell ref="F176:G176"/>
    <mergeCell ref="F177:G177"/>
    <mergeCell ref="F178:G178"/>
    <mergeCell ref="F191:G191"/>
    <mergeCell ref="F192:G192"/>
    <mergeCell ref="F193:G193"/>
    <mergeCell ref="F194:G194"/>
    <mergeCell ref="F195:G195"/>
    <mergeCell ref="F196:G196"/>
    <mergeCell ref="F185:G185"/>
    <mergeCell ref="F186:G186"/>
    <mergeCell ref="F187:G187"/>
    <mergeCell ref="F188:G188"/>
    <mergeCell ref="F189:G189"/>
    <mergeCell ref="F190:G190"/>
    <mergeCell ref="F203:G203"/>
    <mergeCell ref="F204:G204"/>
    <mergeCell ref="F205:G205"/>
    <mergeCell ref="F206:G206"/>
    <mergeCell ref="F207:G207"/>
    <mergeCell ref="F208:G208"/>
    <mergeCell ref="F197:G197"/>
    <mergeCell ref="F198:G198"/>
    <mergeCell ref="F199:G199"/>
    <mergeCell ref="F200:G200"/>
    <mergeCell ref="F201:G201"/>
    <mergeCell ref="F202:G202"/>
    <mergeCell ref="F215:G215"/>
    <mergeCell ref="F216:G216"/>
    <mergeCell ref="F217:G217"/>
    <mergeCell ref="F218:G218"/>
    <mergeCell ref="F219:G219"/>
    <mergeCell ref="F220:G220"/>
    <mergeCell ref="F209:G209"/>
    <mergeCell ref="F210:G210"/>
    <mergeCell ref="F211:G211"/>
    <mergeCell ref="F212:G212"/>
    <mergeCell ref="F213:G213"/>
    <mergeCell ref="F214:G214"/>
    <mergeCell ref="F227:G227"/>
    <mergeCell ref="F228:G228"/>
    <mergeCell ref="F229:G229"/>
    <mergeCell ref="F230:G230"/>
    <mergeCell ref="F231:G231"/>
    <mergeCell ref="F232:G232"/>
    <mergeCell ref="F221:G221"/>
    <mergeCell ref="F222:G222"/>
    <mergeCell ref="F223:G223"/>
    <mergeCell ref="F224:G224"/>
    <mergeCell ref="F225:G225"/>
    <mergeCell ref="F226:G226"/>
    <mergeCell ref="F239:G239"/>
    <mergeCell ref="F240:G240"/>
    <mergeCell ref="F241:G241"/>
    <mergeCell ref="F242:G242"/>
    <mergeCell ref="F243:G243"/>
    <mergeCell ref="F244:G244"/>
    <mergeCell ref="F233:G233"/>
    <mergeCell ref="F234:G234"/>
    <mergeCell ref="F235:G235"/>
    <mergeCell ref="F236:G236"/>
    <mergeCell ref="F237:G237"/>
    <mergeCell ref="F238:G238"/>
    <mergeCell ref="F251:G251"/>
    <mergeCell ref="F252:G252"/>
    <mergeCell ref="F253:G253"/>
    <mergeCell ref="F254:G254"/>
    <mergeCell ref="F255:G255"/>
    <mergeCell ref="F256:G256"/>
    <mergeCell ref="F245:G245"/>
    <mergeCell ref="F246:G246"/>
    <mergeCell ref="F247:G247"/>
    <mergeCell ref="F248:G248"/>
    <mergeCell ref="F249:G249"/>
    <mergeCell ref="F250:G250"/>
    <mergeCell ref="F263:G263"/>
    <mergeCell ref="F264:G264"/>
    <mergeCell ref="F265:G265"/>
    <mergeCell ref="F266:G266"/>
    <mergeCell ref="F267:G267"/>
    <mergeCell ref="F268:G268"/>
    <mergeCell ref="F257:G257"/>
    <mergeCell ref="F258:G258"/>
    <mergeCell ref="F259:G259"/>
    <mergeCell ref="F260:G260"/>
    <mergeCell ref="F261:G261"/>
    <mergeCell ref="F262:G262"/>
    <mergeCell ref="F275:G275"/>
    <mergeCell ref="F276:G276"/>
    <mergeCell ref="F277:G277"/>
    <mergeCell ref="F278:G278"/>
    <mergeCell ref="F279:G279"/>
    <mergeCell ref="F280:G280"/>
    <mergeCell ref="F269:G269"/>
    <mergeCell ref="F270:G270"/>
    <mergeCell ref="F271:G271"/>
    <mergeCell ref="F272:G272"/>
    <mergeCell ref="F273:G273"/>
    <mergeCell ref="F274:G274"/>
    <mergeCell ref="F287:G287"/>
    <mergeCell ref="F288:G288"/>
    <mergeCell ref="F289:G289"/>
    <mergeCell ref="F290:G290"/>
    <mergeCell ref="F291:G291"/>
    <mergeCell ref="F292:G292"/>
    <mergeCell ref="F281:G281"/>
    <mergeCell ref="F282:G282"/>
    <mergeCell ref="F283:G283"/>
    <mergeCell ref="F284:G284"/>
    <mergeCell ref="F285:G285"/>
    <mergeCell ref="F286:G286"/>
    <mergeCell ref="F299:G299"/>
    <mergeCell ref="F300:G300"/>
    <mergeCell ref="F301:G301"/>
    <mergeCell ref="F302:G302"/>
    <mergeCell ref="F303:G303"/>
    <mergeCell ref="F304:G304"/>
    <mergeCell ref="F293:G293"/>
    <mergeCell ref="F294:G294"/>
    <mergeCell ref="F295:G295"/>
    <mergeCell ref="F296:G296"/>
    <mergeCell ref="F297:G297"/>
    <mergeCell ref="F298:G298"/>
    <mergeCell ref="F314:G314"/>
    <mergeCell ref="F315:G315"/>
    <mergeCell ref="F316:G316"/>
    <mergeCell ref="F305:G305"/>
    <mergeCell ref="F306:G306"/>
    <mergeCell ref="F307:G307"/>
    <mergeCell ref="F308:G308"/>
    <mergeCell ref="F309:G309"/>
    <mergeCell ref="F310:G310"/>
    <mergeCell ref="F329:G329"/>
    <mergeCell ref="H3:I3"/>
    <mergeCell ref="H4:I4"/>
    <mergeCell ref="H5:I5"/>
    <mergeCell ref="H6:I6"/>
    <mergeCell ref="H7:I7"/>
    <mergeCell ref="H8:I8"/>
    <mergeCell ref="H9:I9"/>
    <mergeCell ref="H10:I10"/>
    <mergeCell ref="F323:G323"/>
    <mergeCell ref="F324:G324"/>
    <mergeCell ref="F325:G325"/>
    <mergeCell ref="F326:G326"/>
    <mergeCell ref="F327:G327"/>
    <mergeCell ref="F328:G328"/>
    <mergeCell ref="F317:G317"/>
    <mergeCell ref="F318:G318"/>
    <mergeCell ref="F319:G319"/>
    <mergeCell ref="F320:G320"/>
    <mergeCell ref="F321:G321"/>
    <mergeCell ref="F322:G322"/>
    <mergeCell ref="F311:G311"/>
    <mergeCell ref="F312:G312"/>
    <mergeCell ref="F313:G313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H41:I41"/>
    <mergeCell ref="H42:I42"/>
    <mergeCell ref="H43:I43"/>
    <mergeCell ref="H44:I44"/>
    <mergeCell ref="H45:I45"/>
    <mergeCell ref="H46:I46"/>
    <mergeCell ref="H35:I35"/>
    <mergeCell ref="H36:I36"/>
    <mergeCell ref="H37:I37"/>
    <mergeCell ref="H38:I38"/>
    <mergeCell ref="H39:I39"/>
    <mergeCell ref="H40:I40"/>
    <mergeCell ref="H53:I53"/>
    <mergeCell ref="H54:I54"/>
    <mergeCell ref="H55:I55"/>
    <mergeCell ref="H56:I56"/>
    <mergeCell ref="H57:I57"/>
    <mergeCell ref="H58:I58"/>
    <mergeCell ref="H47:I47"/>
    <mergeCell ref="H48:I48"/>
    <mergeCell ref="H49:I49"/>
    <mergeCell ref="H50:I50"/>
    <mergeCell ref="H51:I51"/>
    <mergeCell ref="H52:I52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101:I101"/>
    <mergeCell ref="H102:I102"/>
    <mergeCell ref="H103:I103"/>
    <mergeCell ref="H104:I104"/>
    <mergeCell ref="H105:I105"/>
    <mergeCell ref="H106:I106"/>
    <mergeCell ref="H95:I95"/>
    <mergeCell ref="H96:I96"/>
    <mergeCell ref="H97:I97"/>
    <mergeCell ref="H98:I98"/>
    <mergeCell ref="H99:I99"/>
    <mergeCell ref="H100:I100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37:I137"/>
    <mergeCell ref="H138:I138"/>
    <mergeCell ref="H139:I139"/>
    <mergeCell ref="H140:I140"/>
    <mergeCell ref="H141:I141"/>
    <mergeCell ref="H142:I142"/>
    <mergeCell ref="H131:I131"/>
    <mergeCell ref="H132:I132"/>
    <mergeCell ref="H133:I133"/>
    <mergeCell ref="H134:I134"/>
    <mergeCell ref="H135:I135"/>
    <mergeCell ref="H136:I136"/>
    <mergeCell ref="H149:I149"/>
    <mergeCell ref="H150:I150"/>
    <mergeCell ref="H151:I151"/>
    <mergeCell ref="H152:I152"/>
    <mergeCell ref="H153:I153"/>
    <mergeCell ref="H154:I154"/>
    <mergeCell ref="H143:I143"/>
    <mergeCell ref="H144:I144"/>
    <mergeCell ref="H145:I145"/>
    <mergeCell ref="H146:I146"/>
    <mergeCell ref="H147:I147"/>
    <mergeCell ref="H148:I148"/>
    <mergeCell ref="H161:I161"/>
    <mergeCell ref="H162:I162"/>
    <mergeCell ref="H163:I163"/>
    <mergeCell ref="H164:I164"/>
    <mergeCell ref="H165:I165"/>
    <mergeCell ref="H166:I166"/>
    <mergeCell ref="H155:I155"/>
    <mergeCell ref="H156:I156"/>
    <mergeCell ref="H157:I157"/>
    <mergeCell ref="H158:I158"/>
    <mergeCell ref="H159:I159"/>
    <mergeCell ref="H160:I160"/>
    <mergeCell ref="H173:I173"/>
    <mergeCell ref="H174:I174"/>
    <mergeCell ref="H175:I175"/>
    <mergeCell ref="H176:I176"/>
    <mergeCell ref="H177:I177"/>
    <mergeCell ref="H178:I178"/>
    <mergeCell ref="H167:I167"/>
    <mergeCell ref="H168:I168"/>
    <mergeCell ref="H169:I169"/>
    <mergeCell ref="H170:I170"/>
    <mergeCell ref="H171:I171"/>
    <mergeCell ref="H172:I172"/>
    <mergeCell ref="H185:I185"/>
    <mergeCell ref="H186:I186"/>
    <mergeCell ref="H187:I187"/>
    <mergeCell ref="H188:I188"/>
    <mergeCell ref="H189:I189"/>
    <mergeCell ref="H190:I190"/>
    <mergeCell ref="H179:I179"/>
    <mergeCell ref="H180:I180"/>
    <mergeCell ref="H181:I181"/>
    <mergeCell ref="H182:I182"/>
    <mergeCell ref="H183:I183"/>
    <mergeCell ref="H184:I184"/>
    <mergeCell ref="H197:I197"/>
    <mergeCell ref="H198:I198"/>
    <mergeCell ref="H199:I199"/>
    <mergeCell ref="H200:I200"/>
    <mergeCell ref="H201:I201"/>
    <mergeCell ref="H202:I202"/>
    <mergeCell ref="H191:I191"/>
    <mergeCell ref="H192:I192"/>
    <mergeCell ref="H193:I193"/>
    <mergeCell ref="H194:I194"/>
    <mergeCell ref="H195:I195"/>
    <mergeCell ref="H196:I196"/>
    <mergeCell ref="H209:I209"/>
    <mergeCell ref="H210:I210"/>
    <mergeCell ref="H211:I211"/>
    <mergeCell ref="H212:I212"/>
    <mergeCell ref="H213:I213"/>
    <mergeCell ref="H214:I214"/>
    <mergeCell ref="H203:I203"/>
    <mergeCell ref="H204:I204"/>
    <mergeCell ref="H205:I205"/>
    <mergeCell ref="H206:I206"/>
    <mergeCell ref="H207:I207"/>
    <mergeCell ref="H208:I208"/>
    <mergeCell ref="H221:I221"/>
    <mergeCell ref="H222:I222"/>
    <mergeCell ref="H223:I223"/>
    <mergeCell ref="H224:I224"/>
    <mergeCell ref="H225:I225"/>
    <mergeCell ref="H226:I226"/>
    <mergeCell ref="H215:I215"/>
    <mergeCell ref="H216:I216"/>
    <mergeCell ref="H217:I217"/>
    <mergeCell ref="H218:I218"/>
    <mergeCell ref="H219:I219"/>
    <mergeCell ref="H220:I220"/>
    <mergeCell ref="H233:I233"/>
    <mergeCell ref="H234:I234"/>
    <mergeCell ref="H235:I235"/>
    <mergeCell ref="H236:I236"/>
    <mergeCell ref="H237:I237"/>
    <mergeCell ref="H238:I238"/>
    <mergeCell ref="H227:I227"/>
    <mergeCell ref="H228:I228"/>
    <mergeCell ref="H229:I229"/>
    <mergeCell ref="H230:I230"/>
    <mergeCell ref="H231:I231"/>
    <mergeCell ref="H232:I232"/>
    <mergeCell ref="H245:I245"/>
    <mergeCell ref="H246:I246"/>
    <mergeCell ref="H247:I247"/>
    <mergeCell ref="H248:I248"/>
    <mergeCell ref="H249:I249"/>
    <mergeCell ref="H250:I250"/>
    <mergeCell ref="H239:I239"/>
    <mergeCell ref="H240:I240"/>
    <mergeCell ref="H241:I241"/>
    <mergeCell ref="H242:I242"/>
    <mergeCell ref="H243:I243"/>
    <mergeCell ref="H244:I244"/>
    <mergeCell ref="H257:I257"/>
    <mergeCell ref="H258:I258"/>
    <mergeCell ref="H259:I259"/>
    <mergeCell ref="H260:I260"/>
    <mergeCell ref="H261:I261"/>
    <mergeCell ref="H262:I262"/>
    <mergeCell ref="H251:I251"/>
    <mergeCell ref="H252:I252"/>
    <mergeCell ref="H253:I253"/>
    <mergeCell ref="H254:I254"/>
    <mergeCell ref="H255:I255"/>
    <mergeCell ref="H256:I256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81:I281"/>
    <mergeCell ref="H282:I282"/>
    <mergeCell ref="H283:I283"/>
    <mergeCell ref="H284:I284"/>
    <mergeCell ref="H285:I285"/>
    <mergeCell ref="H286:I286"/>
    <mergeCell ref="H275:I275"/>
    <mergeCell ref="H276:I276"/>
    <mergeCell ref="H277:I277"/>
    <mergeCell ref="H278:I278"/>
    <mergeCell ref="H279:I279"/>
    <mergeCell ref="H280:I280"/>
    <mergeCell ref="H293:I293"/>
    <mergeCell ref="H294:I294"/>
    <mergeCell ref="H295:I295"/>
    <mergeCell ref="H296:I296"/>
    <mergeCell ref="H297:I297"/>
    <mergeCell ref="H298:I298"/>
    <mergeCell ref="H287:I287"/>
    <mergeCell ref="H288:I288"/>
    <mergeCell ref="H289:I289"/>
    <mergeCell ref="H290:I290"/>
    <mergeCell ref="H291:I291"/>
    <mergeCell ref="H292:I292"/>
    <mergeCell ref="H316:I316"/>
    <mergeCell ref="H305:I305"/>
    <mergeCell ref="H306:I306"/>
    <mergeCell ref="H307:I307"/>
    <mergeCell ref="H308:I308"/>
    <mergeCell ref="H309:I309"/>
    <mergeCell ref="H310:I310"/>
    <mergeCell ref="H299:I299"/>
    <mergeCell ref="H300:I300"/>
    <mergeCell ref="H301:I301"/>
    <mergeCell ref="H302:I302"/>
    <mergeCell ref="H303:I303"/>
    <mergeCell ref="H304:I304"/>
    <mergeCell ref="A333:B333"/>
    <mergeCell ref="A334:B334"/>
    <mergeCell ref="A335:B335"/>
    <mergeCell ref="F1:G2"/>
    <mergeCell ref="H1:I2"/>
    <mergeCell ref="H329:I329"/>
    <mergeCell ref="A332:B332"/>
    <mergeCell ref="H323:I323"/>
    <mergeCell ref="H324:I324"/>
    <mergeCell ref="H325:I325"/>
    <mergeCell ref="H326:I326"/>
    <mergeCell ref="H327:I327"/>
    <mergeCell ref="H328:I328"/>
    <mergeCell ref="H317:I317"/>
    <mergeCell ref="H318:I318"/>
    <mergeCell ref="H319:I319"/>
    <mergeCell ref="H320:I320"/>
    <mergeCell ref="H321:I321"/>
    <mergeCell ref="H322:I322"/>
    <mergeCell ref="H311:I311"/>
    <mergeCell ref="H312:I312"/>
    <mergeCell ref="H313:I313"/>
    <mergeCell ref="H314:I314"/>
    <mergeCell ref="H315:I3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TRNR_a83bc7644dab426ab7c158f302601cad_378_1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Singh</cp:lastModifiedBy>
  <dcterms:modified xsi:type="dcterms:W3CDTF">2025-07-10T05:25:32Z</dcterms:modified>
</cp:coreProperties>
</file>